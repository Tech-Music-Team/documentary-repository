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documentary-repository\"/>
    </mc:Choice>
  </mc:AlternateContent>
  <xr:revisionPtr revIDLastSave="0" documentId="13_ncr:1_{D7CC7E5C-C88D-48BE-A721-D3F42A9EB2C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lanilha1" sheetId="1" r:id="rId1"/>
    <sheet name="Planilh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</calcChain>
</file>

<file path=xl/sharedStrings.xml><?xml version="1.0" encoding="utf-8"?>
<sst xmlns="http://schemas.openxmlformats.org/spreadsheetml/2006/main" count="373" uniqueCount="204">
  <si>
    <t>ID</t>
  </si>
  <si>
    <t>Requisito</t>
  </si>
  <si>
    <t>Descrição</t>
  </si>
  <si>
    <t>Tipo</t>
  </si>
  <si>
    <t>Prioridade</t>
  </si>
  <si>
    <t>Status</t>
  </si>
  <si>
    <t>User Story</t>
  </si>
  <si>
    <t>Caso de Uso</t>
  </si>
  <si>
    <t>Teste</t>
  </si>
  <si>
    <t>Critério de Aceitação</t>
  </si>
  <si>
    <t>Análise de Artistas</t>
  </si>
  <si>
    <t>O sistema deve exibir um dashboard geral de artistas com barra de busca, filtros por gênero/categoria e KPIs de popularidade, streams e engajamento.</t>
  </si>
  <si>
    <t>Funcional</t>
  </si>
  <si>
    <t>Essencial</t>
  </si>
  <si>
    <t>Ativo</t>
  </si>
  <si>
    <t>US01</t>
  </si>
  <si>
    <t>CU01</t>
  </si>
  <si>
    <t>T01</t>
  </si>
  <si>
    <t>Painel deve mostrar métricas consolidadas e permitir busca/filtro em tempo real.</t>
  </si>
  <si>
    <t>Comparação de Artistas</t>
  </si>
  <si>
    <t>O sistema deve permitir selecionar artistas para comparação, exibindo gráfico e tabela com métricas de popularidade, seguidores, streams, likes e engajamento</t>
  </si>
  <si>
    <t>US02</t>
  </si>
  <si>
    <t>CU02</t>
  </si>
  <si>
    <t>T02</t>
  </si>
  <si>
    <t>Comparação deve mostrar pelo menos 5 métricas lado a lado.</t>
  </si>
  <si>
    <t>Análise de Músicas</t>
  </si>
  <si>
    <t>O sistema deve apresentar uma tela detalhada da música com nome, artista, gênero, popularidade, KPIs de streams, views, likes e gráfico radar de atributos musicais.</t>
  </si>
  <si>
    <t>US03</t>
  </si>
  <si>
    <t>CU03</t>
  </si>
  <si>
    <t>T03</t>
  </si>
  <si>
    <t>Tela deve exibir KPIs e atributos sonoros (energy, danceability, valence, etc.).</t>
  </si>
  <si>
    <t>Gráfico Radar de Música</t>
  </si>
  <si>
    <t>O sistema deve exibir gráfico radar com atributos musicais (energy, danceability, valence, loudness, speechiness, instrumentalness) e informações complementares.</t>
  </si>
  <si>
    <t>Importante</t>
  </si>
  <si>
    <t>Planejado</t>
  </si>
  <si>
    <t>Radar deve mostrar atributos sonoros com valores corretos.</t>
  </si>
  <si>
    <t>Diagnóstico de Música</t>
  </si>
  <si>
    <t>O sistema deve apresentar diagnóstico detalhado da música com KPIs, taxa de engajamento (likes/views, comments/views) e gráficos de atributos sonoros.</t>
  </si>
  <si>
    <t>Diagnóstico deve calcular taxa de engajamento e exibir atributos sonoros.</t>
  </si>
  <si>
    <t>Comparação de Músicas</t>
  </si>
  <si>
    <t>O sistema deve permitir selecionar duas ou mais músicas para comparação, exibindo gráficos e tabela com KPIs e atributos musicais.</t>
  </si>
  <si>
    <t>Comparação deve mostrar KPIs e atributos sonoros lado a lado.</t>
  </si>
  <si>
    <t>Dashboard de Set-list</t>
  </si>
  <si>
    <t>O sistema deve gerar dashboard analítico para cada set-list criada, exibindo KPIs médios e distribuição de gêneros musicais.</t>
  </si>
  <si>
    <t>Dashboard deve mostrar média de atributos e distribuição de gêneros.</t>
  </si>
  <si>
    <t>Classificação Automática</t>
  </si>
  <si>
    <t>O sistema deve classificar automaticamente artistas em Famoso, Emergente ou Underground.</t>
  </si>
  <si>
    <t>Classificação deve aparecer na tabela e página de detalhes do artista.</t>
  </si>
  <si>
    <t>Criação de Set-list</t>
  </si>
  <si>
    <t>O sistema deve permitir criar set-lists selecionando músicas da base, registrando nome, data e músicas com seus artistas e popularidade.</t>
  </si>
  <si>
    <t>Set-list deve ser salva com metadados corretos.</t>
  </si>
  <si>
    <t>RNF01</t>
  </si>
  <si>
    <t>Performance</t>
  </si>
  <si>
    <t>O sistema deve processar a base completa de dados sem travamentos.</t>
  </si>
  <si>
    <t>Dashboard deve carregar rápido.</t>
  </si>
  <si>
    <t>RNF02</t>
  </si>
  <si>
    <t>Integrabilidade</t>
  </si>
  <si>
    <t>O sistema deve permitir importação de arquivos CSV das bases de dados utilizadas.</t>
  </si>
  <si>
    <t>Importação deve ser concluída sem erros.</t>
  </si>
  <si>
    <t>RNF03</t>
  </si>
  <si>
    <t>Segurança de Dados</t>
  </si>
  <si>
    <t>Os dados importados devem ser armazenados de forma segura, evitando alterações indevidas.</t>
  </si>
  <si>
    <t>Dados devem ser criptografados e protegidos contra acesso indevido.</t>
  </si>
  <si>
    <t>RNF04</t>
  </si>
  <si>
    <t>Autenticação</t>
  </si>
  <si>
    <t>O sistema deve permitir acesso apenas a usuários autenticados.</t>
  </si>
  <si>
    <t>Login deve validar credenciais e impedir acesso não autorizado.</t>
  </si>
  <si>
    <t>RF04</t>
  </si>
  <si>
    <t>Montagem de Line-up</t>
  </si>
  <si>
    <t>O sistema deve permitir montar line-ups</t>
  </si>
  <si>
    <t>CU04</t>
  </si>
  <si>
    <t>T04</t>
  </si>
  <si>
    <t>RF05</t>
  </si>
  <si>
    <t>Montagem de Playlist</t>
  </si>
  <si>
    <t>O sistema deve permitir montar playlists</t>
  </si>
  <si>
    <t>CU05</t>
  </si>
  <si>
    <t>T05</t>
  </si>
  <si>
    <t>Interface Web</t>
  </si>
  <si>
    <t>O sistema deve ser acessado via web</t>
  </si>
  <si>
    <t>Não funcional</t>
  </si>
  <si>
    <t>CU06</t>
  </si>
  <si>
    <t>T06</t>
  </si>
  <si>
    <t>O sistema deve carregar dados rapidamente</t>
  </si>
  <si>
    <t>CU07</t>
  </si>
  <si>
    <t>T07</t>
  </si>
  <si>
    <t>O sistema deve proteger os dados do usuário</t>
  </si>
  <si>
    <t>CU09</t>
  </si>
  <si>
    <t>T08</t>
  </si>
  <si>
    <t xml:space="preserve">MATRIZ DE RASTREABILIDADE – TECH MUSIC </t>
  </si>
  <si>
    <t>Nome</t>
  </si>
  <si>
    <t>Artefato</t>
  </si>
  <si>
    <t>Código de Teste</t>
  </si>
  <si>
    <t>RF01</t>
  </si>
  <si>
    <t>Dashboard de Artistas</t>
  </si>
  <si>
    <t>O sistema deve apresentar métricas de artistas (streams, engajamento e popularidade)</t>
  </si>
  <si>
    <t>Em desenvolvimento</t>
  </si>
  <si>
    <t>Wireframe</t>
  </si>
  <si>
    <t>CT03</t>
  </si>
  <si>
    <t>RF02</t>
  </si>
  <si>
    <t>Filtro de Artistas</t>
  </si>
  <si>
    <t>O sistema deve permitir filtrar artistas por gênero, localização e vibe</t>
  </si>
  <si>
    <t>CT04</t>
  </si>
  <si>
    <t>RF03</t>
  </si>
  <si>
    <t>Tendências de Artistas</t>
  </si>
  <si>
    <t>O sistema deve identificar artistas em alta com base em dados</t>
  </si>
  <si>
    <t>Documentação do Projeto</t>
  </si>
  <si>
    <t>CT08</t>
  </si>
  <si>
    <t>Histórico de Popularidade</t>
  </si>
  <si>
    <t>O sistema deve exibir evolução de popularidade por região</t>
  </si>
  <si>
    <t>CT09</t>
  </si>
  <si>
    <t>Definir Contexto do Evento</t>
  </si>
  <si>
    <t>O sistema deve permitir configurar tipo de evento e público</t>
  </si>
  <si>
    <t>CT10</t>
  </si>
  <si>
    <t>RF06</t>
  </si>
  <si>
    <t>Compatibilidade com Público</t>
  </si>
  <si>
    <t>O sistema deve analisar compatibilidade entre artista e público</t>
  </si>
  <si>
    <t>CT11</t>
  </si>
  <si>
    <t>RF07</t>
  </si>
  <si>
    <t>Análise de Engajamento</t>
  </si>
  <si>
    <t>O sistema deve analisar reação do público a artistas e estilos</t>
  </si>
  <si>
    <t>CT12</t>
  </si>
  <si>
    <t>RF08</t>
  </si>
  <si>
    <t>O sistema deve permitir comparar artistas lado a lado</t>
  </si>
  <si>
    <t>RF09</t>
  </si>
  <si>
    <t>Análise Musical Avançada</t>
  </si>
  <si>
    <t>O sistema deve analisar energia, vibe e progressão musical</t>
  </si>
  <si>
    <t>CT13</t>
  </si>
  <si>
    <t>RF10</t>
  </si>
  <si>
    <t>Recomendação de Artistas</t>
  </si>
  <si>
    <t>O sistema deve sugerir artistas com base em dados e contexto</t>
  </si>
  <si>
    <t>US04</t>
  </si>
  <si>
    <t>Arquitetura de Solução – AWS</t>
  </si>
  <si>
    <t>CT14</t>
  </si>
  <si>
    <t>RF11</t>
  </si>
  <si>
    <t>Descoberta de Artistas</t>
  </si>
  <si>
    <t>O sistema deve sugerir novos artistas relevantes</t>
  </si>
  <si>
    <t>Desejável</t>
  </si>
  <si>
    <t>CT15</t>
  </si>
  <si>
    <t>RF12</t>
  </si>
  <si>
    <t>O sistema deve permitir montar line-ups de eventos</t>
  </si>
  <si>
    <t>US05</t>
  </si>
  <si>
    <t>CT06</t>
  </si>
  <si>
    <t>RF13</t>
  </si>
  <si>
    <t>Simulação de Line-up</t>
  </si>
  <si>
    <t>O sistema deve permitir testar combinações de artistas</t>
  </si>
  <si>
    <t>CT16</t>
  </si>
  <si>
    <t>RF14</t>
  </si>
  <si>
    <t>Curva de Energia</t>
  </si>
  <si>
    <t>O sistema deve exibir progressão de energia do evento</t>
  </si>
  <si>
    <t>CT17</t>
  </si>
  <si>
    <t>RF15</t>
  </si>
  <si>
    <t>Sugestão de Transições</t>
  </si>
  <si>
    <t>O sistema deve sugerir transições entre artistas</t>
  </si>
  <si>
    <t>CT18</t>
  </si>
  <si>
    <t>RF16</t>
  </si>
  <si>
    <t>Análise Regional (Gravadora)</t>
  </si>
  <si>
    <t>O sistema deve mostrar onde artistas performam melhor</t>
  </si>
  <si>
    <t>US06</t>
  </si>
  <si>
    <t>CT19</t>
  </si>
  <si>
    <t>RF17</t>
  </si>
  <si>
    <t>Crescimento por Região</t>
  </si>
  <si>
    <t>O sistema deve acompanhar crescimento por região</t>
  </si>
  <si>
    <t>CT20</t>
  </si>
  <si>
    <t>RF18</t>
  </si>
  <si>
    <t>Login de Usuário</t>
  </si>
  <si>
    <t>O sistema deve permitir autenticação com email e senha</t>
  </si>
  <si>
    <t>Implementado</t>
  </si>
  <si>
    <t>US-T01</t>
  </si>
  <si>
    <t>CT01</t>
  </si>
  <si>
    <t>RF19</t>
  </si>
  <si>
    <t>Cadastro de Usuário</t>
  </si>
  <si>
    <t>O sistema deve permitir criação de conta</t>
  </si>
  <si>
    <t>CT02</t>
  </si>
  <si>
    <t>RF20</t>
  </si>
  <si>
    <t>Integração com API</t>
  </si>
  <si>
    <t>O sistema deve integrar frontend com backend</t>
  </si>
  <si>
    <t>US-T02</t>
  </si>
  <si>
    <t>CT07</t>
  </si>
  <si>
    <t>RF21</t>
  </si>
  <si>
    <t>Leitura de Arquivos S3</t>
  </si>
  <si>
    <t>O sistema deve ler arquivos armazenados no S3</t>
  </si>
  <si>
    <t>CT05</t>
  </si>
  <si>
    <t>RF22</t>
  </si>
  <si>
    <t>Processamento de Dados</t>
  </si>
  <si>
    <t>O sistema deve tratar e armazenar dados no banco</t>
  </si>
  <si>
    <t>DER – Modelo de Dados</t>
  </si>
  <si>
    <t>Segurança AWS</t>
  </si>
  <si>
    <t>O sistema deve garantir controle de acesso com IAM</t>
  </si>
  <si>
    <t>Não Funcional</t>
  </si>
  <si>
    <t>CT21</t>
  </si>
  <si>
    <t>Responsividade</t>
  </si>
  <si>
    <t>O sistema deve ser responsivo em todos dispositivos</t>
  </si>
  <si>
    <t>US-T03</t>
  </si>
  <si>
    <t>CT22</t>
  </si>
  <si>
    <t>Logs do Sistema</t>
  </si>
  <si>
    <t>O sistema deve registrar logs no banco de dados</t>
  </si>
  <si>
    <t>CT23</t>
  </si>
  <si>
    <t>Notificações</t>
  </si>
  <si>
    <t>O sistema deve enviar notificações automáticas</t>
  </si>
  <si>
    <t>CT24</t>
  </si>
  <si>
    <t>RNF05</t>
  </si>
  <si>
    <t>Execução em Nuvem</t>
  </si>
  <si>
    <t>O sistema deve rodar em EC2 com Docker</t>
  </si>
  <si>
    <t>CT25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</si>
</sst>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rgb="FFFFFFFF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AC268B-A2D3-4574-9278-C27421B590DC}" name="Tabela1" displayName="Tabela1" ref="B3:K20" totalsRowShown="0">
  <autoFilter ref="B3:K20" xr:uid="{CDAC268B-A2D3-4574-9278-C27421B590DC}"/>
  <tableColumns count="10">
    <tableColumn id="1" xr3:uid="{0C90BC28-A365-4752-855C-14575BFED6EE}" name="ID">
      <calculatedColumnFormula>"RF0" &amp; TEXT(ROW() - ROW(Tabela1[[#Headers],[ID]]), "0;-0")</calculatedColumnFormula>
    </tableColumn>
    <tableColumn id="2" xr3:uid="{8A011B03-6597-4412-A130-22550AFB8112}" name="Requisito"/>
    <tableColumn id="3" xr3:uid="{69047DA7-5430-4C0A-81EC-5F37FCBA6DAC}" name="Descrição"/>
    <tableColumn id="4" xr3:uid="{8FCD0355-FA04-4FE1-815A-5E8C93780B8E}" name="Tipo"/>
    <tableColumn id="5" xr3:uid="{7F59B8BA-4D0D-4D87-B59E-9D445E5EDFB7}" name="Prioridade"/>
    <tableColumn id="6" xr3:uid="{4D9504E4-7DDB-4F49-BF31-C2C09D686443}" name="Status"/>
    <tableColumn id="7" xr3:uid="{5264B4B9-FE00-4506-8919-8162E07B26A6}" name="User Story"/>
    <tableColumn id="8" xr3:uid="{5FEF38A4-3108-4455-82FD-8248F036F8E9}" name="Caso de Uso"/>
    <tableColumn id="9" xr3:uid="{257C7B48-BCB4-4F66-B1EA-681EBDA5F3B9}" name="Teste"/>
    <tableColumn id="11" xr3:uid="{FE45843B-557C-41AB-B056-01BD36AFB83F}" name="Critério de Aceit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K26"/>
  <sheetViews>
    <sheetView workbookViewId="0">
      <selection activeCell="K16" sqref="K16"/>
    </sheetView>
  </sheetViews>
  <sheetFormatPr defaultRowHeight="14.4" x14ac:dyDescent="0.3"/>
  <cols>
    <col min="3" max="3" width="22.33203125" bestFit="1" customWidth="1"/>
    <col min="4" max="4" width="38.33203125" customWidth="1"/>
    <col min="5" max="5" width="14.109375" customWidth="1"/>
    <col min="6" max="6" width="12.44140625" bestFit="1" customWidth="1"/>
    <col min="7" max="7" width="9.44140625" bestFit="1" customWidth="1"/>
    <col min="8" max="8" width="12.44140625" bestFit="1" customWidth="1"/>
    <col min="9" max="9" width="14" bestFit="1" customWidth="1"/>
    <col min="11" max="11" width="36.5546875" bestFit="1" customWidth="1"/>
  </cols>
  <sheetData>
    <row r="3" spans="2:11" x14ac:dyDescent="0.3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</row>
    <row r="4" spans="2:11" ht="57.6" x14ac:dyDescent="0.3">
      <c r="B4" t="str">
        <f>"RF0" &amp; TEXT(ROW() - ROW(Tabela1[[#Headers],[ID]]), "0;-0")</f>
        <v>RF01</v>
      </c>
      <c r="C4" t="s">
        <v>10</v>
      </c>
      <c r="D4" s="1" t="s">
        <v>11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  <c r="J4" t="s">
        <v>17</v>
      </c>
      <c r="K4" s="1" t="s">
        <v>18</v>
      </c>
    </row>
    <row r="5" spans="2:11" ht="57.6" x14ac:dyDescent="0.3">
      <c r="B5" t="str">
        <f>"RF0" &amp; TEXT(ROW() - ROW(Tabela1[[#Headers],[ID]]), "0;-0")</f>
        <v>RF02</v>
      </c>
      <c r="C5" t="s">
        <v>19</v>
      </c>
      <c r="D5" s="1" t="s">
        <v>20</v>
      </c>
      <c r="E5" t="s">
        <v>12</v>
      </c>
      <c r="F5" t="s">
        <v>13</v>
      </c>
      <c r="G5" t="s">
        <v>14</v>
      </c>
      <c r="H5" t="s">
        <v>21</v>
      </c>
      <c r="I5" t="s">
        <v>22</v>
      </c>
      <c r="J5" t="s">
        <v>23</v>
      </c>
      <c r="K5" s="1" t="s">
        <v>24</v>
      </c>
    </row>
    <row r="6" spans="2:11" ht="72" x14ac:dyDescent="0.3">
      <c r="B6" t="str">
        <f>"RF0" &amp; TEXT(ROW() - ROW(Tabela1[[#Headers],[ID]]), "0;-0")</f>
        <v>RF03</v>
      </c>
      <c r="C6" t="s">
        <v>25</v>
      </c>
      <c r="D6" s="1" t="s">
        <v>26</v>
      </c>
      <c r="E6" t="s">
        <v>12</v>
      </c>
      <c r="F6" t="s">
        <v>13</v>
      </c>
      <c r="G6" t="s">
        <v>14</v>
      </c>
      <c r="H6" t="s">
        <v>27</v>
      </c>
      <c r="I6" t="s">
        <v>28</v>
      </c>
      <c r="J6" t="s">
        <v>29</v>
      </c>
      <c r="K6" s="1" t="s">
        <v>30</v>
      </c>
    </row>
    <row r="7" spans="2:11" ht="72" x14ac:dyDescent="0.3">
      <c r="B7" t="str">
        <f>"RF0" &amp; TEXT(ROW() - ROW(Tabela1[[#Headers],[ID]]), "0;-0")</f>
        <v>RF04</v>
      </c>
      <c r="C7" t="s">
        <v>31</v>
      </c>
      <c r="D7" s="1" t="s">
        <v>32</v>
      </c>
      <c r="E7" t="s">
        <v>12</v>
      </c>
      <c r="F7" t="s">
        <v>33</v>
      </c>
      <c r="G7" t="s">
        <v>34</v>
      </c>
      <c r="K7" s="1" t="s">
        <v>35</v>
      </c>
    </row>
    <row r="8" spans="2:11" ht="57.6" x14ac:dyDescent="0.3">
      <c r="B8" t="str">
        <f>"RF0" &amp; TEXT(ROW() - ROW(Tabela1[[#Headers],[ID]]), "0;-0")</f>
        <v>RF05</v>
      </c>
      <c r="C8" t="s">
        <v>36</v>
      </c>
      <c r="D8" s="1" t="s">
        <v>37</v>
      </c>
      <c r="E8" t="s">
        <v>12</v>
      </c>
      <c r="F8" t="s">
        <v>33</v>
      </c>
      <c r="G8" t="s">
        <v>34</v>
      </c>
      <c r="K8" s="1" t="s">
        <v>38</v>
      </c>
    </row>
    <row r="9" spans="2:11" ht="57.6" x14ac:dyDescent="0.3">
      <c r="B9" t="str">
        <f>"RF0" &amp; TEXT(ROW() - ROW(Tabela1[[#Headers],[ID]]), "0;-0")</f>
        <v>RF06</v>
      </c>
      <c r="C9" t="s">
        <v>39</v>
      </c>
      <c r="D9" s="1" t="s">
        <v>40</v>
      </c>
      <c r="E9" t="s">
        <v>12</v>
      </c>
      <c r="K9" s="1" t="s">
        <v>41</v>
      </c>
    </row>
    <row r="10" spans="2:11" ht="43.2" x14ac:dyDescent="0.3">
      <c r="B10" t="str">
        <f>"RF0" &amp; TEXT(ROW() - ROW(Tabela1[[#Headers],[ID]]), "0;-0")</f>
        <v>RF07</v>
      </c>
      <c r="C10" t="s">
        <v>42</v>
      </c>
      <c r="D10" s="1" t="s">
        <v>43</v>
      </c>
      <c r="K10" s="1" t="s">
        <v>44</v>
      </c>
    </row>
    <row r="11" spans="2:11" ht="43.2" x14ac:dyDescent="0.3">
      <c r="B11" t="str">
        <f>"RF0" &amp; TEXT(ROW() - ROW(Tabela1[[#Headers],[ID]]), "0;-0")</f>
        <v>RF08</v>
      </c>
      <c r="C11" t="s">
        <v>45</v>
      </c>
      <c r="D11" s="1" t="s">
        <v>46</v>
      </c>
      <c r="K11" s="1" t="s">
        <v>47</v>
      </c>
    </row>
    <row r="12" spans="2:11" ht="57.6" x14ac:dyDescent="0.3">
      <c r="B12" t="str">
        <f>"RF0" &amp; TEXT(ROW() - ROW(Tabela1[[#Headers],[ID]]), "0;-0")</f>
        <v>RF09</v>
      </c>
      <c r="C12" t="s">
        <v>48</v>
      </c>
      <c r="D12" s="1" t="s">
        <v>49</v>
      </c>
      <c r="K12" s="1" t="s">
        <v>50</v>
      </c>
    </row>
    <row r="13" spans="2:11" ht="28.8" x14ac:dyDescent="0.3">
      <c r="B13" t="s">
        <v>51</v>
      </c>
      <c r="C13" t="s">
        <v>52</v>
      </c>
      <c r="D13" s="1" t="s">
        <v>53</v>
      </c>
      <c r="K13" s="1" t="s">
        <v>54</v>
      </c>
    </row>
    <row r="14" spans="2:11" ht="28.8" x14ac:dyDescent="0.3">
      <c r="B14" t="s">
        <v>55</v>
      </c>
      <c r="C14" t="s">
        <v>56</v>
      </c>
      <c r="D14" s="1" t="s">
        <v>57</v>
      </c>
      <c r="K14" s="1" t="s">
        <v>58</v>
      </c>
    </row>
    <row r="15" spans="2:11" ht="43.2" x14ac:dyDescent="0.3">
      <c r="B15" t="s">
        <v>59</v>
      </c>
      <c r="C15" t="s">
        <v>60</v>
      </c>
      <c r="D15" s="1" t="s">
        <v>61</v>
      </c>
      <c r="K15" s="1" t="s">
        <v>62</v>
      </c>
    </row>
    <row r="16" spans="2:11" ht="28.8" x14ac:dyDescent="0.3">
      <c r="B16" t="s">
        <v>63</v>
      </c>
      <c r="C16" t="s">
        <v>64</v>
      </c>
      <c r="D16" s="1" t="s">
        <v>65</v>
      </c>
      <c r="K16" s="1" t="s">
        <v>66</v>
      </c>
    </row>
    <row r="22" spans="2:10" x14ac:dyDescent="0.3">
      <c r="B22" t="s">
        <v>67</v>
      </c>
      <c r="C22" t="s">
        <v>68</v>
      </c>
      <c r="D22" t="s">
        <v>69</v>
      </c>
      <c r="E22" t="s">
        <v>12</v>
      </c>
      <c r="F22" t="s">
        <v>13</v>
      </c>
      <c r="G22" t="s">
        <v>14</v>
      </c>
      <c r="H22" t="s">
        <v>21</v>
      </c>
      <c r="I22" t="s">
        <v>70</v>
      </c>
      <c r="J22" t="s">
        <v>71</v>
      </c>
    </row>
    <row r="23" spans="2:10" x14ac:dyDescent="0.3">
      <c r="B23" t="s">
        <v>72</v>
      </c>
      <c r="C23" t="s">
        <v>73</v>
      </c>
      <c r="D23" t="s">
        <v>74</v>
      </c>
      <c r="E23" t="s">
        <v>12</v>
      </c>
      <c r="F23" t="s">
        <v>13</v>
      </c>
      <c r="G23" t="s">
        <v>14</v>
      </c>
      <c r="H23" t="s">
        <v>27</v>
      </c>
      <c r="I23" t="s">
        <v>75</v>
      </c>
      <c r="J23" t="s">
        <v>76</v>
      </c>
    </row>
    <row r="24" spans="2:10" x14ac:dyDescent="0.3">
      <c r="B24" t="s">
        <v>51</v>
      </c>
      <c r="C24" t="s">
        <v>77</v>
      </c>
      <c r="D24" t="s">
        <v>78</v>
      </c>
      <c r="E24" t="s">
        <v>79</v>
      </c>
      <c r="F24" t="s">
        <v>33</v>
      </c>
      <c r="G24" t="s">
        <v>14</v>
      </c>
      <c r="I24" t="s">
        <v>80</v>
      </c>
      <c r="J24" t="s">
        <v>81</v>
      </c>
    </row>
    <row r="25" spans="2:10" x14ac:dyDescent="0.3">
      <c r="B25" t="s">
        <v>55</v>
      </c>
      <c r="C25" t="s">
        <v>52</v>
      </c>
      <c r="D25" s="1" t="s">
        <v>82</v>
      </c>
      <c r="E25" t="s">
        <v>79</v>
      </c>
      <c r="F25" t="s">
        <v>33</v>
      </c>
      <c r="G25" t="s">
        <v>14</v>
      </c>
      <c r="I25" t="s">
        <v>83</v>
      </c>
      <c r="J25" t="s">
        <v>84</v>
      </c>
    </row>
    <row r="26" spans="2:10" x14ac:dyDescent="0.3">
      <c r="B26" t="s">
        <v>59</v>
      </c>
      <c r="C26" t="s">
        <v>60</v>
      </c>
      <c r="D26" s="1" t="s">
        <v>85</v>
      </c>
      <c r="E26" t="s">
        <v>79</v>
      </c>
      <c r="F26" t="s">
        <v>33</v>
      </c>
      <c r="G26" t="s">
        <v>14</v>
      </c>
      <c r="I26" t="s">
        <v>86</v>
      </c>
      <c r="J26" t="s">
        <v>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BDAF4-8877-4BBC-B957-C26603140F9C}">
  <dimension ref="B1:J29"/>
  <sheetViews>
    <sheetView tabSelected="1" workbookViewId="0">
      <selection activeCell="E5" sqref="E5"/>
    </sheetView>
  </sheetViews>
  <sheetFormatPr defaultRowHeight="14.4" x14ac:dyDescent="0.3"/>
  <cols>
    <col min="3" max="3" width="26.109375" bestFit="1" customWidth="1"/>
    <col min="4" max="4" width="36.5546875" bestFit="1" customWidth="1"/>
    <col min="5" max="5" width="13.33203125" bestFit="1" customWidth="1"/>
    <col min="6" max="6" width="10.6640625" bestFit="1" customWidth="1"/>
    <col min="7" max="7" width="19.109375" bestFit="1" customWidth="1"/>
    <col min="8" max="8" width="9.88671875" bestFit="1" customWidth="1"/>
    <col min="9" max="9" width="36.5546875" bestFit="1" customWidth="1"/>
    <col min="10" max="10" width="14.5546875" bestFit="1" customWidth="1"/>
  </cols>
  <sheetData>
    <row r="1" spans="2:10" x14ac:dyDescent="0.3">
      <c r="B1" s="8" t="s">
        <v>88</v>
      </c>
      <c r="C1" s="9"/>
      <c r="D1" s="9"/>
      <c r="E1" s="9"/>
      <c r="F1" s="9"/>
      <c r="G1" s="9"/>
      <c r="H1" s="9"/>
      <c r="I1" s="9"/>
      <c r="J1" s="9"/>
    </row>
    <row r="2" spans="2:10" x14ac:dyDescent="0.3">
      <c r="B2" s="2" t="s">
        <v>0</v>
      </c>
      <c r="C2" s="2" t="s">
        <v>89</v>
      </c>
      <c r="D2" s="2" t="s">
        <v>2</v>
      </c>
      <c r="E2" s="2" t="s">
        <v>3</v>
      </c>
      <c r="F2" s="2" t="s">
        <v>4</v>
      </c>
      <c r="G2" s="7" t="s">
        <v>5</v>
      </c>
      <c r="H2" s="7" t="s">
        <v>6</v>
      </c>
      <c r="I2" s="7" t="s">
        <v>90</v>
      </c>
      <c r="J2" s="7" t="s">
        <v>91</v>
      </c>
    </row>
    <row r="3" spans="2:10" ht="43.2" x14ac:dyDescent="0.3">
      <c r="B3" s="3" t="s">
        <v>92</v>
      </c>
      <c r="C3" s="3" t="s">
        <v>93</v>
      </c>
      <c r="D3" s="4" t="s">
        <v>94</v>
      </c>
      <c r="E3" s="3" t="s">
        <v>12</v>
      </c>
      <c r="F3" s="6" t="s">
        <v>13</v>
      </c>
      <c r="G3" s="3" t="s">
        <v>166</v>
      </c>
      <c r="H3" s="3" t="s">
        <v>15</v>
      </c>
      <c r="I3" s="3" t="s">
        <v>96</v>
      </c>
      <c r="J3" s="3" t="s">
        <v>97</v>
      </c>
    </row>
    <row r="4" spans="2:10" ht="28.8" x14ac:dyDescent="0.3">
      <c r="B4" s="3" t="s">
        <v>98</v>
      </c>
      <c r="C4" s="3" t="s">
        <v>99</v>
      </c>
      <c r="D4" s="4" t="s">
        <v>100</v>
      </c>
      <c r="E4" s="3" t="s">
        <v>12</v>
      </c>
      <c r="F4" s="6" t="s">
        <v>13</v>
      </c>
      <c r="G4" s="3" t="s">
        <v>95</v>
      </c>
      <c r="H4" s="3" t="s">
        <v>15</v>
      </c>
      <c r="I4" s="3" t="s">
        <v>96</v>
      </c>
      <c r="J4" s="3" t="s">
        <v>101</v>
      </c>
    </row>
    <row r="5" spans="2:10" ht="28.8" x14ac:dyDescent="0.3">
      <c r="B5" s="3" t="s">
        <v>102</v>
      </c>
      <c r="C5" s="3" t="s">
        <v>103</v>
      </c>
      <c r="D5" s="4" t="s">
        <v>104</v>
      </c>
      <c r="E5" s="3" t="s">
        <v>12</v>
      </c>
      <c r="F5" s="6" t="s">
        <v>33</v>
      </c>
      <c r="G5" s="3" t="s">
        <v>34</v>
      </c>
      <c r="H5" s="3" t="s">
        <v>15</v>
      </c>
      <c r="I5" s="3" t="s">
        <v>105</v>
      </c>
      <c r="J5" s="3" t="s">
        <v>106</v>
      </c>
    </row>
    <row r="6" spans="2:10" ht="28.8" x14ac:dyDescent="0.3">
      <c r="B6" s="3" t="s">
        <v>67</v>
      </c>
      <c r="C6" s="3" t="s">
        <v>107</v>
      </c>
      <c r="D6" s="4" t="s">
        <v>108</v>
      </c>
      <c r="E6" s="3" t="s">
        <v>12</v>
      </c>
      <c r="F6" s="6" t="s">
        <v>33</v>
      </c>
      <c r="G6" s="3" t="s">
        <v>34</v>
      </c>
      <c r="H6" s="3" t="s">
        <v>15</v>
      </c>
      <c r="I6" s="3" t="s">
        <v>96</v>
      </c>
      <c r="J6" s="3" t="s">
        <v>109</v>
      </c>
    </row>
    <row r="7" spans="2:10" ht="28.8" x14ac:dyDescent="0.3">
      <c r="B7" s="3" t="s">
        <v>72</v>
      </c>
      <c r="C7" s="3" t="s">
        <v>110</v>
      </c>
      <c r="D7" s="4" t="s">
        <v>111</v>
      </c>
      <c r="E7" s="3" t="s">
        <v>12</v>
      </c>
      <c r="F7" s="6" t="s">
        <v>13</v>
      </c>
      <c r="G7" s="3" t="s">
        <v>34</v>
      </c>
      <c r="H7" s="3" t="s">
        <v>21</v>
      </c>
      <c r="I7" s="3" t="s">
        <v>96</v>
      </c>
      <c r="J7" s="3" t="s">
        <v>112</v>
      </c>
    </row>
    <row r="8" spans="2:10" ht="28.8" x14ac:dyDescent="0.3">
      <c r="B8" s="3" t="s">
        <v>113</v>
      </c>
      <c r="C8" s="3" t="s">
        <v>114</v>
      </c>
      <c r="D8" s="4" t="s">
        <v>115</v>
      </c>
      <c r="E8" s="3" t="s">
        <v>12</v>
      </c>
      <c r="F8" s="6" t="s">
        <v>33</v>
      </c>
      <c r="G8" s="3" t="s">
        <v>34</v>
      </c>
      <c r="H8" s="3" t="s">
        <v>21</v>
      </c>
      <c r="I8" s="3" t="s">
        <v>105</v>
      </c>
      <c r="J8" s="3" t="s">
        <v>116</v>
      </c>
    </row>
    <row r="9" spans="2:10" ht="28.8" x14ac:dyDescent="0.3">
      <c r="B9" s="3" t="s">
        <v>117</v>
      </c>
      <c r="C9" s="3" t="s">
        <v>118</v>
      </c>
      <c r="D9" s="4" t="s">
        <v>119</v>
      </c>
      <c r="E9" s="3" t="s">
        <v>12</v>
      </c>
      <c r="F9" s="6" t="s">
        <v>33</v>
      </c>
      <c r="G9" s="3" t="s">
        <v>34</v>
      </c>
      <c r="H9" s="3" t="s">
        <v>21</v>
      </c>
      <c r="I9" s="3" t="s">
        <v>105</v>
      </c>
      <c r="J9" s="3" t="s">
        <v>120</v>
      </c>
    </row>
    <row r="10" spans="2:10" ht="28.8" x14ac:dyDescent="0.3">
      <c r="B10" s="3" t="s">
        <v>121</v>
      </c>
      <c r="C10" s="3" t="s">
        <v>19</v>
      </c>
      <c r="D10" s="4" t="s">
        <v>122</v>
      </c>
      <c r="E10" s="3" t="s">
        <v>12</v>
      </c>
      <c r="F10" s="6" t="s">
        <v>13</v>
      </c>
      <c r="G10" s="3" t="s">
        <v>95</v>
      </c>
      <c r="H10" s="3" t="s">
        <v>27</v>
      </c>
      <c r="I10" s="3" t="s">
        <v>96</v>
      </c>
      <c r="J10" s="3" t="s">
        <v>101</v>
      </c>
    </row>
    <row r="11" spans="2:10" ht="28.8" x14ac:dyDescent="0.3">
      <c r="B11" s="3" t="s">
        <v>123</v>
      </c>
      <c r="C11" s="3" t="s">
        <v>124</v>
      </c>
      <c r="D11" s="4" t="s">
        <v>125</v>
      </c>
      <c r="E11" s="3" t="s">
        <v>12</v>
      </c>
      <c r="F11" s="6" t="s">
        <v>33</v>
      </c>
      <c r="G11" s="3" t="s">
        <v>34</v>
      </c>
      <c r="H11" s="3" t="s">
        <v>27</v>
      </c>
      <c r="I11" s="3" t="s">
        <v>105</v>
      </c>
      <c r="J11" s="3" t="s">
        <v>126</v>
      </c>
    </row>
    <row r="12" spans="2:10" ht="28.8" x14ac:dyDescent="0.3">
      <c r="B12" s="3" t="s">
        <v>127</v>
      </c>
      <c r="C12" s="3" t="s">
        <v>128</v>
      </c>
      <c r="D12" s="4" t="s">
        <v>129</v>
      </c>
      <c r="E12" s="3" t="s">
        <v>12</v>
      </c>
      <c r="F12" s="6" t="s">
        <v>33</v>
      </c>
      <c r="G12" s="3" t="s">
        <v>34</v>
      </c>
      <c r="H12" s="3" t="s">
        <v>130</v>
      </c>
      <c r="I12" s="4" t="s">
        <v>131</v>
      </c>
      <c r="J12" s="3" t="s">
        <v>132</v>
      </c>
    </row>
    <row r="13" spans="2:10" ht="28.8" x14ac:dyDescent="0.3">
      <c r="B13" s="3" t="s">
        <v>133</v>
      </c>
      <c r="C13" s="3" t="s">
        <v>134</v>
      </c>
      <c r="D13" s="4" t="s">
        <v>135</v>
      </c>
      <c r="E13" s="3" t="s">
        <v>12</v>
      </c>
      <c r="F13" s="6" t="s">
        <v>136</v>
      </c>
      <c r="G13" s="3" t="s">
        <v>166</v>
      </c>
      <c r="H13" s="3" t="s">
        <v>130</v>
      </c>
      <c r="I13" s="3" t="s">
        <v>105</v>
      </c>
      <c r="J13" s="3" t="s">
        <v>137</v>
      </c>
    </row>
    <row r="14" spans="2:10" ht="28.8" x14ac:dyDescent="0.3">
      <c r="B14" s="3" t="s">
        <v>138</v>
      </c>
      <c r="C14" s="3" t="s">
        <v>68</v>
      </c>
      <c r="D14" s="4" t="s">
        <v>139</v>
      </c>
      <c r="E14" s="3" t="s">
        <v>12</v>
      </c>
      <c r="F14" s="6" t="s">
        <v>13</v>
      </c>
      <c r="G14" s="3" t="s">
        <v>95</v>
      </c>
      <c r="H14" s="3" t="s">
        <v>140</v>
      </c>
      <c r="I14" s="3" t="s">
        <v>96</v>
      </c>
      <c r="J14" s="3" t="s">
        <v>141</v>
      </c>
    </row>
    <row r="15" spans="2:10" ht="28.8" x14ac:dyDescent="0.3">
      <c r="B15" s="3" t="s">
        <v>142</v>
      </c>
      <c r="C15" s="3" t="s">
        <v>143</v>
      </c>
      <c r="D15" s="4" t="s">
        <v>144</v>
      </c>
      <c r="E15" s="3" t="s">
        <v>12</v>
      </c>
      <c r="F15" s="6" t="s">
        <v>33</v>
      </c>
      <c r="G15" s="3" t="s">
        <v>34</v>
      </c>
      <c r="H15" s="3" t="s">
        <v>140</v>
      </c>
      <c r="I15" s="3" t="s">
        <v>96</v>
      </c>
      <c r="J15" s="3" t="s">
        <v>145</v>
      </c>
    </row>
    <row r="16" spans="2:10" ht="28.8" x14ac:dyDescent="0.3">
      <c r="B16" s="3" t="s">
        <v>146</v>
      </c>
      <c r="C16" s="3" t="s">
        <v>147</v>
      </c>
      <c r="D16" s="4" t="s">
        <v>148</v>
      </c>
      <c r="E16" s="3" t="s">
        <v>12</v>
      </c>
      <c r="F16" s="6" t="s">
        <v>33</v>
      </c>
      <c r="G16" s="3" t="s">
        <v>34</v>
      </c>
      <c r="H16" s="3" t="s">
        <v>140</v>
      </c>
      <c r="I16" s="3" t="s">
        <v>105</v>
      </c>
      <c r="J16" s="3" t="s">
        <v>149</v>
      </c>
    </row>
    <row r="17" spans="2:10" ht="28.8" x14ac:dyDescent="0.3">
      <c r="B17" s="3" t="s">
        <v>150</v>
      </c>
      <c r="C17" s="3" t="s">
        <v>151</v>
      </c>
      <c r="D17" s="4" t="s">
        <v>152</v>
      </c>
      <c r="E17" s="3" t="s">
        <v>12</v>
      </c>
      <c r="F17" s="6" t="s">
        <v>136</v>
      </c>
      <c r="G17" s="3" t="s">
        <v>34</v>
      </c>
      <c r="H17" s="3" t="s">
        <v>140</v>
      </c>
      <c r="I17" s="3" t="s">
        <v>131</v>
      </c>
      <c r="J17" s="3" t="s">
        <v>153</v>
      </c>
    </row>
    <row r="18" spans="2:10" ht="28.8" x14ac:dyDescent="0.3">
      <c r="B18" s="3" t="s">
        <v>154</v>
      </c>
      <c r="C18" s="3" t="s">
        <v>155</v>
      </c>
      <c r="D18" s="4" t="s">
        <v>156</v>
      </c>
      <c r="E18" s="3" t="s">
        <v>12</v>
      </c>
      <c r="F18" s="6" t="s">
        <v>33</v>
      </c>
      <c r="G18" s="3" t="s">
        <v>34</v>
      </c>
      <c r="H18" s="3" t="s">
        <v>157</v>
      </c>
      <c r="I18" s="3" t="s">
        <v>96</v>
      </c>
      <c r="J18" s="3" t="s">
        <v>158</v>
      </c>
    </row>
    <row r="19" spans="2:10" ht="28.8" x14ac:dyDescent="0.3">
      <c r="B19" s="3" t="s">
        <v>159</v>
      </c>
      <c r="C19" s="3" t="s">
        <v>160</v>
      </c>
      <c r="D19" s="4" t="s">
        <v>161</v>
      </c>
      <c r="E19" s="3" t="s">
        <v>12</v>
      </c>
      <c r="F19" s="6" t="s">
        <v>33</v>
      </c>
      <c r="G19" s="3" t="s">
        <v>34</v>
      </c>
      <c r="H19" s="3" t="s">
        <v>157</v>
      </c>
      <c r="I19" s="3" t="s">
        <v>105</v>
      </c>
      <c r="J19" s="3" t="s">
        <v>162</v>
      </c>
    </row>
    <row r="20" spans="2:10" ht="28.8" x14ac:dyDescent="0.3">
      <c r="B20" s="3" t="s">
        <v>163</v>
      </c>
      <c r="C20" s="3" t="s">
        <v>164</v>
      </c>
      <c r="D20" s="4" t="s">
        <v>165</v>
      </c>
      <c r="E20" s="3" t="s">
        <v>12</v>
      </c>
      <c r="F20" s="6" t="s">
        <v>33</v>
      </c>
      <c r="G20" s="3" t="s">
        <v>166</v>
      </c>
      <c r="H20" s="3" t="s">
        <v>167</v>
      </c>
      <c r="I20" s="3" t="s">
        <v>96</v>
      </c>
      <c r="J20" s="3" t="s">
        <v>168</v>
      </c>
    </row>
    <row r="21" spans="2:10" ht="20.25" customHeight="1" x14ac:dyDescent="0.3">
      <c r="B21" s="3" t="s">
        <v>169</v>
      </c>
      <c r="C21" s="3" t="s">
        <v>170</v>
      </c>
      <c r="D21" s="3" t="s">
        <v>171</v>
      </c>
      <c r="E21" s="3" t="s">
        <v>12</v>
      </c>
      <c r="F21" s="6" t="s">
        <v>13</v>
      </c>
      <c r="G21" s="3" t="s">
        <v>166</v>
      </c>
      <c r="H21" s="3" t="s">
        <v>167</v>
      </c>
      <c r="I21" s="3" t="s">
        <v>96</v>
      </c>
      <c r="J21" s="3" t="s">
        <v>172</v>
      </c>
    </row>
    <row r="22" spans="2:10" ht="28.8" x14ac:dyDescent="0.3">
      <c r="B22" s="3" t="s">
        <v>173</v>
      </c>
      <c r="C22" s="3" t="s">
        <v>174</v>
      </c>
      <c r="D22" s="4" t="s">
        <v>175</v>
      </c>
      <c r="E22" s="3" t="s">
        <v>12</v>
      </c>
      <c r="F22" s="6" t="s">
        <v>33</v>
      </c>
      <c r="G22" s="3" t="s">
        <v>166</v>
      </c>
      <c r="H22" s="3" t="s">
        <v>176</v>
      </c>
      <c r="I22" s="3" t="s">
        <v>131</v>
      </c>
      <c r="J22" s="3" t="s">
        <v>177</v>
      </c>
    </row>
    <row r="23" spans="2:10" ht="28.8" x14ac:dyDescent="0.3">
      <c r="B23" s="3" t="s">
        <v>178</v>
      </c>
      <c r="C23" s="3" t="s">
        <v>179</v>
      </c>
      <c r="D23" s="4" t="s">
        <v>180</v>
      </c>
      <c r="E23" s="3" t="s">
        <v>12</v>
      </c>
      <c r="F23" s="6" t="s">
        <v>13</v>
      </c>
      <c r="G23" s="3" t="s">
        <v>166</v>
      </c>
      <c r="H23" s="3" t="s">
        <v>176</v>
      </c>
      <c r="I23" s="3" t="s">
        <v>131</v>
      </c>
      <c r="J23" s="3" t="s">
        <v>181</v>
      </c>
    </row>
    <row r="24" spans="2:10" ht="28.8" x14ac:dyDescent="0.3">
      <c r="B24" s="3" t="s">
        <v>182</v>
      </c>
      <c r="C24" s="3" t="s">
        <v>183</v>
      </c>
      <c r="D24" s="4" t="s">
        <v>184</v>
      </c>
      <c r="E24" s="3" t="s">
        <v>12</v>
      </c>
      <c r="F24" s="6" t="s">
        <v>13</v>
      </c>
      <c r="G24" s="3" t="s">
        <v>166</v>
      </c>
      <c r="H24" s="3" t="s">
        <v>176</v>
      </c>
      <c r="I24" s="3" t="s">
        <v>185</v>
      </c>
      <c r="J24" s="3" t="s">
        <v>106</v>
      </c>
    </row>
    <row r="25" spans="2:10" ht="28.8" x14ac:dyDescent="0.3">
      <c r="B25" s="3" t="s">
        <v>51</v>
      </c>
      <c r="C25" s="3" t="s">
        <v>186</v>
      </c>
      <c r="D25" s="4" t="s">
        <v>187</v>
      </c>
      <c r="E25" s="3" t="s">
        <v>188</v>
      </c>
      <c r="F25" s="6" t="s">
        <v>13</v>
      </c>
      <c r="G25" s="3" t="s">
        <v>166</v>
      </c>
      <c r="H25" s="3" t="s">
        <v>176</v>
      </c>
      <c r="I25" s="3" t="s">
        <v>131</v>
      </c>
      <c r="J25" s="3" t="s">
        <v>189</v>
      </c>
    </row>
    <row r="26" spans="2:10" ht="28.8" x14ac:dyDescent="0.3">
      <c r="B26" s="3" t="s">
        <v>55</v>
      </c>
      <c r="C26" s="3" t="s">
        <v>190</v>
      </c>
      <c r="D26" s="4" t="s">
        <v>191</v>
      </c>
      <c r="E26" s="3" t="s">
        <v>188</v>
      </c>
      <c r="F26" s="6" t="s">
        <v>33</v>
      </c>
      <c r="G26" s="3" t="s">
        <v>166</v>
      </c>
      <c r="H26" s="3" t="s">
        <v>192</v>
      </c>
      <c r="I26" s="3" t="s">
        <v>96</v>
      </c>
      <c r="J26" s="3" t="s">
        <v>193</v>
      </c>
    </row>
    <row r="27" spans="2:10" ht="28.8" x14ac:dyDescent="0.3">
      <c r="B27" s="3" t="s">
        <v>59</v>
      </c>
      <c r="C27" s="3" t="s">
        <v>194</v>
      </c>
      <c r="D27" s="4" t="s">
        <v>195</v>
      </c>
      <c r="E27" s="5" t="s">
        <v>188</v>
      </c>
      <c r="F27" s="6" t="s">
        <v>33</v>
      </c>
      <c r="G27" s="3" t="s">
        <v>34</v>
      </c>
      <c r="H27" s="3" t="s">
        <v>176</v>
      </c>
      <c r="I27" s="3" t="s">
        <v>185</v>
      </c>
      <c r="J27" s="3" t="s">
        <v>196</v>
      </c>
    </row>
    <row r="28" spans="2:10" ht="28.8" x14ac:dyDescent="0.3">
      <c r="B28" s="3" t="s">
        <v>63</v>
      </c>
      <c r="C28" s="3" t="s">
        <v>197</v>
      </c>
      <c r="D28" s="4" t="s">
        <v>198</v>
      </c>
      <c r="E28" s="5" t="s">
        <v>188</v>
      </c>
      <c r="F28" s="6" t="s">
        <v>136</v>
      </c>
      <c r="G28" s="3" t="s">
        <v>95</v>
      </c>
      <c r="H28" s="3" t="s">
        <v>192</v>
      </c>
      <c r="I28" s="3" t="s">
        <v>131</v>
      </c>
      <c r="J28" s="3" t="s">
        <v>199</v>
      </c>
    </row>
    <row r="29" spans="2:10" x14ac:dyDescent="0.3">
      <c r="B29" s="3" t="s">
        <v>200</v>
      </c>
      <c r="C29" s="3" t="s">
        <v>201</v>
      </c>
      <c r="D29" s="4" t="s">
        <v>202</v>
      </c>
      <c r="E29" s="5" t="s">
        <v>188</v>
      </c>
      <c r="F29" s="6" t="s">
        <v>33</v>
      </c>
      <c r="G29" s="3" t="s">
        <v>166</v>
      </c>
      <c r="H29" s="3" t="s">
        <v>176</v>
      </c>
      <c r="I29" s="3" t="s">
        <v>131</v>
      </c>
      <c r="J29" s="3" t="s">
        <v>203</v>
      </c>
    </row>
  </sheetData>
  <mergeCells count="1">
    <mergeCell ref="B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Giovanna Oliveira</cp:lastModifiedBy>
  <cp:revision/>
  <dcterms:created xsi:type="dcterms:W3CDTF">2026-04-06T13:38:44Z</dcterms:created>
  <dcterms:modified xsi:type="dcterms:W3CDTF">2026-05-28T14:22:12Z</dcterms:modified>
  <cp:category/>
  <cp:contentStatus/>
</cp:coreProperties>
</file>