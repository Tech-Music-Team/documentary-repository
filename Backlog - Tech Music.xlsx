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/>
  <mc:AlternateContent xmlns:mc="http://schemas.openxmlformats.org/markup-compatibility/2006">
    <mc:Choice Requires="x15">
      <x15ac:absPath xmlns:x15ac="http://schemas.microsoft.com/office/spreadsheetml/2010/11/ac" url="C:\Users\dell\Downloads\documentary-repository\"/>
    </mc:Choice>
  </mc:AlternateContent>
  <xr:revisionPtr revIDLastSave="0" documentId="13_ncr:1_{820D4768-24DC-4591-91EB-3EDF8EBD75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</sheets>
  <definedNames>
    <definedName name="_xlnm._FilterDatabase" localSheetId="0" hidden="1">'Product Backlog'!$P$3:$P$22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1" i="1" l="1"/>
  <c r="Z12" i="1" s="1"/>
  <c r="Z13" i="1" s="1"/>
  <c r="Y11" i="1"/>
  <c r="S9" i="1"/>
  <c r="S8" i="1"/>
  <c r="S7" i="1"/>
  <c r="S6" i="1"/>
  <c r="U6" i="1"/>
  <c r="V7" i="1"/>
  <c r="T8" i="1" l="1"/>
  <c r="Y12" i="1" s="1"/>
  <c r="V8" i="1" l="1"/>
  <c r="T9" i="1" s="1"/>
  <c r="Y13" i="1" l="1"/>
  <c r="V9" i="1"/>
  <c r="V6" i="1"/>
</calcChain>
</file>

<file path=xl/sharedStrings.xml><?xml version="1.0" encoding="utf-8"?>
<sst xmlns="http://schemas.openxmlformats.org/spreadsheetml/2006/main" count="116" uniqueCount="63">
  <si>
    <t>BACKLOG - TECH MUSIC</t>
  </si>
  <si>
    <t>Requisito</t>
  </si>
  <si>
    <t>Descrição</t>
  </si>
  <si>
    <t>Classificação</t>
  </si>
  <si>
    <t>Tamanho</t>
  </si>
  <si>
    <t>Tam(#)</t>
  </si>
  <si>
    <t>Prioridade</t>
  </si>
  <si>
    <t>SPRINT</t>
  </si>
  <si>
    <t>Pontos Fibonacci</t>
  </si>
  <si>
    <t>Planejado</t>
  </si>
  <si>
    <t>Entregue</t>
  </si>
  <si>
    <t>Pendente</t>
  </si>
  <si>
    <t>Documentar o projeto</t>
  </si>
  <si>
    <t>Criar uma documentação completa com contexto, objetivo, justificativa, escopo, premissas, restriçôes, diagrama de funcionamento e solução técnica, metodologia utilizada, açôes futuras e bibliografia.</t>
  </si>
  <si>
    <t>Essencial</t>
  </si>
  <si>
    <t>G</t>
  </si>
  <si>
    <t>SP1</t>
  </si>
  <si>
    <t>TOTAL</t>
  </si>
  <si>
    <t>Criar prótotipo do Site</t>
  </si>
  <si>
    <t>Desenvolver um protótipo do site, para visualizar como será a interface antes de iniciar a implementação.</t>
  </si>
  <si>
    <t>Desejável</t>
  </si>
  <si>
    <t>M</t>
  </si>
  <si>
    <t>Criar wireframe</t>
  </si>
  <si>
    <t>Criar wireframe das principais telas para definir estrutura, navegação e usabilidade.</t>
  </si>
  <si>
    <t>Importante</t>
  </si>
  <si>
    <t>SP2</t>
  </si>
  <si>
    <t>Desenvolver um website</t>
  </si>
  <si>
    <t>Desenvolver o site completo usando HTML, CSS e JavaScript. O site deve seguir o protótipo terr todas as funcionalidades previstas no projeto.</t>
  </si>
  <si>
    <t>SP3</t>
  </si>
  <si>
    <t>Fazer Tela de Cadastro</t>
  </si>
  <si>
    <t>Criar a tela onde o usuário poderá registrar sua conta, informando os dados solicitados. Implementar validações, respostas e boa usabilidade.</t>
  </si>
  <si>
    <t>TOTAL FINAL</t>
  </si>
  <si>
    <t>Fazer Tela de Login</t>
  </si>
  <si>
    <t>Desenvolver a tela onde o usuário poderá acessar o sistema informando email e senha com validação de campos.</t>
  </si>
  <si>
    <t xml:space="preserve">Tela de cadastro e logi nfuncionando com API </t>
  </si>
  <si>
    <t>Integrar as telas de cadastro e login com uma API real. As informações devem ser enviadas ao backend, validadas e armazenadas no banco de dados.</t>
  </si>
  <si>
    <t>DADOS DO GRÁFICO</t>
  </si>
  <si>
    <t>Desenvolver Dashboard  com Indicadores</t>
  </si>
  <si>
    <t>Desenvolver uma dashboard geral de artistas com barra de busca, filtros por gênero e categoria (Famoso, Emergente, Underground), KPIs de média de popularidade, total de streams e média de engajamento, além de uma tabela com nome do artista, popularidade, seguidores, streams, visualizações, engajamento e botão para visualizar detalhes.</t>
  </si>
  <si>
    <t>GG</t>
  </si>
  <si>
    <t>Desenvolver DER</t>
  </si>
  <si>
    <t>Criar a modelagem lógica do banco de dados, representando tabelas, atributos, chaves primárias, chaves estrangeiras e relacionamentos entre entidades.</t>
  </si>
  <si>
    <t>P</t>
  </si>
  <si>
    <t xml:space="preserve">Extração com ApachePOI </t>
  </si>
  <si>
    <t>Extrair dados de arquivos utilizando ApachePOI e preparar para importação no bamco</t>
  </si>
  <si>
    <t>Camada de segurança em infraestrutura nuvem AWS com IAM</t>
  </si>
  <si>
    <t>Configurar a camada de segurança na infraestrutura AWS utilizando IAM. Definir usuários permissões e politicas de acesso.</t>
  </si>
  <si>
    <t>Análise de arquivo extraído e inserção de informação no BD</t>
  </si>
  <si>
    <t>Realizar análise e tratamento dos dados extraídos e inserir as informações no banco de dados de forma consistente e validada.</t>
  </si>
  <si>
    <t>Dashboard com gráficos e indicadores úteis</t>
  </si>
  <si>
    <t>Desenvolver dashboards com gráficos e indicadores relevantes para análise de desempenho e
comportamento dos artistas e músicas.</t>
  </si>
  <si>
    <t>Envio de notificações utilizando Slack e/ou Java Mail</t>
  </si>
  <si>
    <t>Implementar o envio de notificações automáticas via Slack e/ou e-mail (Java Mail) para eventos
importantes do sistema.</t>
  </si>
  <si>
    <t>Dockerização e agendamento da execução  Java em EC2</t>
  </si>
  <si>
    <t>Containerizar a aplicação Java com Docker e configurar o agendamento da execução em instância EC2.</t>
  </si>
  <si>
    <t>Responsividade obrigatória no site Institucional</t>
  </si>
  <si>
    <t>Garantir que o site institucional seja totalmente responsivo em diferentes dispositivos (desktop, tablet e mobile).</t>
  </si>
  <si>
    <t>Parametrização em Web do envio de notificações</t>
  </si>
  <si>
    <t>Criar interface web para parametrizar os tipos de notificação, destinatários, frequência e condições de envio.</t>
  </si>
  <si>
    <t>Logs do serviço Java em BD</t>
  </si>
  <si>
    <t>Registrar logs detalhados da execução do serviço Java e armazená-los no banco de dados para auditoria e monitoramento.</t>
  </si>
  <si>
    <t>Leitura de arquivos armazenados em S3</t>
  </si>
  <si>
    <t>Ler arquivos armazenados em bucket S3 da AWS, recuperando os dados para processamento e integração com o banco de dados, garantindo segurança de acesso.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</si>
</sst>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2" borderId="1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5" borderId="13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0" fillId="0" borderId="0" xfId="0" applyFill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/>
    <xf numFmtId="0" fontId="3" fillId="0" borderId="9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0" fillId="0" borderId="10" xfId="0" applyFill="1" applyBorder="1"/>
    <xf numFmtId="0" fontId="0" fillId="0" borderId="7" xfId="0" applyFill="1" applyBorder="1"/>
    <xf numFmtId="0" fontId="0" fillId="0" borderId="9" xfId="0" applyFill="1" applyBorder="1"/>
    <xf numFmtId="0" fontId="1" fillId="0" borderId="11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C53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'Product Backlog'!$Y$9</c:f>
              <c:strCache>
                <c:ptCount val="1"/>
                <c:pt idx="0">
                  <c:v>Planejado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rgbClr val="637CEF"/>
                </a:solidFill>
                <a:round/>
              </a:ln>
              <a:effectLst/>
            </c:spPr>
          </c:dPt>
          <c:cat>
            <c:strRef>
              <c:f>'Product Backlog'!$R$6:$R$9</c:f>
              <c:strCache>
                <c:ptCount val="4"/>
                <c:pt idx="0">
                  <c:v>TOTAL</c:v>
                </c:pt>
                <c:pt idx="1">
                  <c:v>SP1</c:v>
                </c:pt>
                <c:pt idx="2">
                  <c:v>SP2</c:v>
                </c:pt>
                <c:pt idx="3">
                  <c:v>SP3</c:v>
                </c:pt>
              </c:strCache>
            </c:strRef>
          </c:cat>
          <c:val>
            <c:numRef>
              <c:f>'Product Backlog'!$Y$10:$Y$13</c:f>
              <c:numCache>
                <c:formatCode>General</c:formatCode>
                <c:ptCount val="4"/>
                <c:pt idx="0">
                  <c:v>215</c:v>
                </c:pt>
                <c:pt idx="1">
                  <c:v>173</c:v>
                </c:pt>
                <c:pt idx="2">
                  <c:v>100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C6-4839-B494-903204B6F16D}"/>
            </c:ext>
          </c:extLst>
        </c:ser>
        <c:ser>
          <c:idx val="1"/>
          <c:order val="1"/>
          <c:tx>
            <c:strRef>
              <c:f>'Product Backlog'!$Z$9</c:f>
              <c:strCache>
                <c:ptCount val="1"/>
                <c:pt idx="0">
                  <c:v>Entregue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rgbClr val="E3008C"/>
                </a:solidFill>
                <a:round/>
              </a:ln>
              <a:effectLst/>
            </c:spPr>
          </c:dPt>
          <c:cat>
            <c:strRef>
              <c:f>'Product Backlog'!$R$6:$R$9</c:f>
              <c:strCache>
                <c:ptCount val="4"/>
                <c:pt idx="0">
                  <c:v>TOTAL</c:v>
                </c:pt>
                <c:pt idx="1">
                  <c:v>SP1</c:v>
                </c:pt>
                <c:pt idx="2">
                  <c:v>SP2</c:v>
                </c:pt>
                <c:pt idx="3">
                  <c:v>SP3</c:v>
                </c:pt>
              </c:strCache>
            </c:strRef>
          </c:cat>
          <c:val>
            <c:numRef>
              <c:f>'Product Backlog'!$Z$10:$Z$13</c:f>
              <c:numCache>
                <c:formatCode>General</c:formatCode>
                <c:ptCount val="4"/>
                <c:pt idx="0">
                  <c:v>215</c:v>
                </c:pt>
                <c:pt idx="1">
                  <c:v>176</c:v>
                </c:pt>
                <c:pt idx="2">
                  <c:v>113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C6-4839-B494-903204B6F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1917703"/>
        <c:axId val="781953543"/>
      </c:lineChart>
      <c:catAx>
        <c:axId val="781917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1953543"/>
        <c:crosses val="autoZero"/>
        <c:auto val="1"/>
        <c:lblAlgn val="ctr"/>
        <c:lblOffset val="100"/>
        <c:noMultiLvlLbl val="0"/>
      </c:catAx>
      <c:valAx>
        <c:axId val="781953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1917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656492</xdr:colOff>
      <xdr:row>10</xdr:row>
      <xdr:rowOff>624254</xdr:rowOff>
    </xdr:from>
    <xdr:to>
      <xdr:col>22</xdr:col>
      <xdr:colOff>46893</xdr:colOff>
      <xdr:row>19</xdr:row>
      <xdr:rowOff>21248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65BF2FB-8CA9-D9F0-73FA-A62228C7E513}"/>
            </a:ext>
            <a:ext uri="{147F2762-F138-4A5C-976F-8EAC2B608ADB}">
              <a16:predDERef xmlns:a16="http://schemas.microsoft.com/office/drawing/2014/main" pred="{C2913DEA-7040-3F00-EEBE-B5F476FDE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Z42"/>
  <sheetViews>
    <sheetView tabSelected="1" zoomScale="65" zoomScaleNormal="65" workbookViewId="0">
      <selection activeCell="AA21" sqref="AA21"/>
    </sheetView>
  </sheetViews>
  <sheetFormatPr defaultRowHeight="13.8"/>
  <cols>
    <col min="1" max="1" width="7.59765625" customWidth="1"/>
    <col min="2" max="2" width="36.59765625" bestFit="1" customWidth="1"/>
    <col min="3" max="3" width="18.69921875" customWidth="1"/>
    <col min="9" max="9" width="9.3984375" bestFit="1" customWidth="1"/>
    <col min="11" max="11" width="47.8984375" customWidth="1"/>
    <col min="12" max="12" width="12.3984375" bestFit="1" customWidth="1"/>
    <col min="15" max="15" width="9.69921875" bestFit="1" customWidth="1"/>
    <col min="18" max="18" width="12.59765625" customWidth="1"/>
    <col min="19" max="19" width="12.5" customWidth="1"/>
    <col min="20" max="20" width="17.09765625" customWidth="1"/>
    <col min="21" max="21" width="11.3984375" customWidth="1"/>
    <col min="22" max="22" width="11" customWidth="1"/>
  </cols>
  <sheetData>
    <row r="2" spans="2:26" ht="20.25" customHeight="1">
      <c r="B2" s="18" t="s">
        <v>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2:26" ht="22.5" customHeight="1">
      <c r="B3" s="19" t="s">
        <v>1</v>
      </c>
      <c r="C3" s="19"/>
      <c r="D3" s="19" t="s">
        <v>2</v>
      </c>
      <c r="E3" s="19"/>
      <c r="F3" s="19"/>
      <c r="G3" s="19"/>
      <c r="H3" s="19"/>
      <c r="I3" s="19"/>
      <c r="J3" s="19"/>
      <c r="K3" s="19"/>
      <c r="L3" s="7" t="s">
        <v>3</v>
      </c>
      <c r="M3" s="7" t="s">
        <v>4</v>
      </c>
      <c r="N3" s="7" t="s">
        <v>5</v>
      </c>
      <c r="O3" s="7" t="s">
        <v>6</v>
      </c>
      <c r="P3" s="7" t="s">
        <v>7</v>
      </c>
      <c r="Q3" s="29"/>
      <c r="R3" s="29"/>
    </row>
    <row r="4" spans="2:26" ht="34.5" customHeight="1">
      <c r="B4" s="15" t="s">
        <v>12</v>
      </c>
      <c r="C4" s="15"/>
      <c r="D4" s="17" t="s">
        <v>13</v>
      </c>
      <c r="E4" s="17"/>
      <c r="F4" s="17"/>
      <c r="G4" s="17"/>
      <c r="H4" s="17"/>
      <c r="I4" s="17"/>
      <c r="J4" s="17"/>
      <c r="K4" s="17"/>
      <c r="L4" s="1" t="s">
        <v>14</v>
      </c>
      <c r="M4" s="1" t="s">
        <v>15</v>
      </c>
      <c r="N4" s="1">
        <v>13</v>
      </c>
      <c r="O4" s="1">
        <v>1</v>
      </c>
      <c r="P4" s="1" t="s">
        <v>16</v>
      </c>
      <c r="Q4" s="29"/>
      <c r="R4" s="29"/>
      <c r="S4" s="29"/>
      <c r="T4" s="29"/>
      <c r="U4" s="29"/>
      <c r="V4" s="29"/>
      <c r="W4" s="29"/>
      <c r="X4" s="29"/>
      <c r="Y4" s="29"/>
    </row>
    <row r="5" spans="2:26" ht="30" customHeight="1">
      <c r="B5" s="15" t="s">
        <v>18</v>
      </c>
      <c r="C5" s="15"/>
      <c r="D5" s="17" t="s">
        <v>19</v>
      </c>
      <c r="E5" s="17"/>
      <c r="F5" s="17"/>
      <c r="G5" s="17"/>
      <c r="H5" s="17"/>
      <c r="I5" s="17"/>
      <c r="J5" s="17"/>
      <c r="K5" s="17"/>
      <c r="L5" s="1" t="s">
        <v>20</v>
      </c>
      <c r="M5" s="1" t="s">
        <v>21</v>
      </c>
      <c r="N5" s="1">
        <v>8</v>
      </c>
      <c r="O5" s="1">
        <v>3</v>
      </c>
      <c r="P5" s="1" t="s">
        <v>16</v>
      </c>
      <c r="Q5" s="29"/>
      <c r="R5" s="3" t="s">
        <v>7</v>
      </c>
      <c r="S5" s="12" t="s">
        <v>8</v>
      </c>
      <c r="T5" s="13" t="s">
        <v>9</v>
      </c>
      <c r="U5" s="13" t="s">
        <v>10</v>
      </c>
      <c r="V5" s="13" t="s">
        <v>11</v>
      </c>
      <c r="W5" s="29"/>
      <c r="X5" s="29"/>
      <c r="Y5" s="29"/>
    </row>
    <row r="6" spans="2:26" ht="25.5" customHeight="1">
      <c r="B6" s="20" t="s">
        <v>22</v>
      </c>
      <c r="C6" s="20"/>
      <c r="D6" s="21" t="s">
        <v>23</v>
      </c>
      <c r="E6" s="21"/>
      <c r="F6" s="21"/>
      <c r="G6" s="21"/>
      <c r="H6" s="21"/>
      <c r="I6" s="21"/>
      <c r="J6" s="21"/>
      <c r="K6" s="21"/>
      <c r="L6" s="6" t="s">
        <v>24</v>
      </c>
      <c r="M6" s="6" t="s">
        <v>21</v>
      </c>
      <c r="N6" s="6">
        <v>8</v>
      </c>
      <c r="O6" s="6">
        <v>2</v>
      </c>
      <c r="P6" s="6" t="s">
        <v>16</v>
      </c>
      <c r="Q6" s="29"/>
      <c r="R6" s="10" t="s">
        <v>17</v>
      </c>
      <c r="S6" s="1">
        <f>S7+S8+S9</f>
        <v>215</v>
      </c>
      <c r="T6" s="2">
        <v>215</v>
      </c>
      <c r="U6" s="1">
        <f>U7+U8+U9</f>
        <v>215</v>
      </c>
      <c r="V6" s="1">
        <f>V9</f>
        <v>0</v>
      </c>
    </row>
    <row r="7" spans="2:26" ht="32.25" customHeight="1">
      <c r="B7" s="16" t="s">
        <v>26</v>
      </c>
      <c r="C7" s="16"/>
      <c r="D7" s="17" t="s">
        <v>27</v>
      </c>
      <c r="E7" s="17"/>
      <c r="F7" s="17"/>
      <c r="G7" s="17"/>
      <c r="H7" s="17"/>
      <c r="I7" s="17"/>
      <c r="J7" s="17"/>
      <c r="K7" s="17"/>
      <c r="L7" s="1" t="s">
        <v>14</v>
      </c>
      <c r="M7" s="1" t="s">
        <v>15</v>
      </c>
      <c r="N7" s="1">
        <v>13</v>
      </c>
      <c r="O7" s="1">
        <v>2</v>
      </c>
      <c r="P7" s="1" t="s">
        <v>25</v>
      </c>
      <c r="Q7" s="29"/>
      <c r="R7" s="9" t="s">
        <v>16</v>
      </c>
      <c r="S7" s="4">
        <f>N4+N5+N6+N14</f>
        <v>42</v>
      </c>
      <c r="T7" s="1">
        <v>42</v>
      </c>
      <c r="U7" s="1">
        <v>39</v>
      </c>
      <c r="V7" s="1">
        <f>T7-U7</f>
        <v>3</v>
      </c>
    </row>
    <row r="8" spans="2:26" ht="31.5" customHeight="1">
      <c r="B8" s="15" t="s">
        <v>29</v>
      </c>
      <c r="C8" s="15"/>
      <c r="D8" s="17" t="s">
        <v>30</v>
      </c>
      <c r="E8" s="17"/>
      <c r="F8" s="17"/>
      <c r="G8" s="17"/>
      <c r="H8" s="17"/>
      <c r="I8" s="17"/>
      <c r="J8" s="17"/>
      <c r="K8" s="17"/>
      <c r="L8" s="1" t="s">
        <v>14</v>
      </c>
      <c r="M8" s="1" t="s">
        <v>15</v>
      </c>
      <c r="N8" s="1">
        <v>13</v>
      </c>
      <c r="O8" s="1">
        <v>1</v>
      </c>
      <c r="P8" s="1" t="s">
        <v>25</v>
      </c>
      <c r="Q8" s="29"/>
      <c r="R8" s="9" t="s">
        <v>25</v>
      </c>
      <c r="S8" s="1">
        <f>N7+N8+N9+N10+N12+N15+N19</f>
        <v>73</v>
      </c>
      <c r="T8" s="1">
        <f>S8+V7</f>
        <v>76</v>
      </c>
      <c r="U8" s="1">
        <v>63</v>
      </c>
      <c r="V8" s="1">
        <f>T8-U8</f>
        <v>13</v>
      </c>
    </row>
    <row r="9" spans="2:26" ht="27.75" customHeight="1">
      <c r="B9" s="15" t="s">
        <v>32</v>
      </c>
      <c r="C9" s="15"/>
      <c r="D9" s="17" t="s">
        <v>33</v>
      </c>
      <c r="E9" s="17"/>
      <c r="F9" s="17"/>
      <c r="G9" s="17"/>
      <c r="H9" s="17"/>
      <c r="I9" s="17"/>
      <c r="J9" s="17"/>
      <c r="K9" s="17"/>
      <c r="L9" s="1" t="s">
        <v>14</v>
      </c>
      <c r="M9" s="1" t="s">
        <v>21</v>
      </c>
      <c r="N9" s="1">
        <v>8</v>
      </c>
      <c r="O9" s="1">
        <v>1</v>
      </c>
      <c r="P9" s="1" t="s">
        <v>25</v>
      </c>
      <c r="Q9" s="29"/>
      <c r="R9" s="11" t="s">
        <v>28</v>
      </c>
      <c r="S9" s="5">
        <f>N11+N13+N16+N17+N18+N20+N21+N22</f>
        <v>100</v>
      </c>
      <c r="T9" s="5">
        <f>S9+V8</f>
        <v>113</v>
      </c>
      <c r="U9" s="5">
        <v>113</v>
      </c>
      <c r="V9" s="5">
        <f>T9-U9</f>
        <v>0</v>
      </c>
      <c r="Y9" s="12" t="s">
        <v>9</v>
      </c>
      <c r="Z9" s="12" t="s">
        <v>10</v>
      </c>
    </row>
    <row r="10" spans="2:26" ht="33.75" customHeight="1">
      <c r="B10" s="16" t="s">
        <v>34</v>
      </c>
      <c r="C10" s="16"/>
      <c r="D10" s="17" t="s">
        <v>35</v>
      </c>
      <c r="E10" s="17"/>
      <c r="F10" s="17"/>
      <c r="G10" s="17"/>
      <c r="H10" s="17"/>
      <c r="I10" s="17"/>
      <c r="J10" s="17"/>
      <c r="K10" s="17"/>
      <c r="L10" s="1" t="s">
        <v>14</v>
      </c>
      <c r="M10" s="1" t="s">
        <v>15</v>
      </c>
      <c r="N10" s="1">
        <v>13</v>
      </c>
      <c r="O10" s="1">
        <v>1</v>
      </c>
      <c r="P10" s="1" t="s">
        <v>25</v>
      </c>
      <c r="Q10" s="29"/>
      <c r="R10" s="9" t="s">
        <v>31</v>
      </c>
      <c r="S10" s="1">
        <v>0</v>
      </c>
      <c r="T10" s="1">
        <v>0</v>
      </c>
      <c r="U10" s="1">
        <v>0</v>
      </c>
      <c r="V10" s="1"/>
      <c r="Y10" s="1">
        <v>215</v>
      </c>
      <c r="Z10" s="1">
        <v>215</v>
      </c>
    </row>
    <row r="11" spans="2:26" ht="50.25" customHeight="1">
      <c r="B11" s="15" t="s">
        <v>37</v>
      </c>
      <c r="C11" s="15"/>
      <c r="D11" s="17" t="s">
        <v>38</v>
      </c>
      <c r="E11" s="17"/>
      <c r="F11" s="17"/>
      <c r="G11" s="17"/>
      <c r="H11" s="17"/>
      <c r="I11" s="17"/>
      <c r="J11" s="17"/>
      <c r="K11" s="17"/>
      <c r="L11" s="1" t="s">
        <v>24</v>
      </c>
      <c r="M11" s="1" t="s">
        <v>39</v>
      </c>
      <c r="N11" s="1">
        <v>21</v>
      </c>
      <c r="O11" s="1">
        <v>2</v>
      </c>
      <c r="P11" s="1" t="s">
        <v>28</v>
      </c>
      <c r="Q11" s="29"/>
      <c r="R11" s="29"/>
      <c r="Y11" s="1">
        <f>T6-T7</f>
        <v>173</v>
      </c>
      <c r="Z11" s="1">
        <f>T6-U7</f>
        <v>176</v>
      </c>
    </row>
    <row r="12" spans="2:26" ht="39.75" customHeight="1">
      <c r="B12" s="16" t="s">
        <v>40</v>
      </c>
      <c r="C12" s="16"/>
      <c r="D12" s="17" t="s">
        <v>41</v>
      </c>
      <c r="E12" s="17"/>
      <c r="F12" s="17"/>
      <c r="G12" s="17"/>
      <c r="H12" s="17"/>
      <c r="I12" s="17"/>
      <c r="J12" s="17"/>
      <c r="K12" s="17"/>
      <c r="L12" s="1" t="s">
        <v>24</v>
      </c>
      <c r="M12" s="1" t="s">
        <v>42</v>
      </c>
      <c r="N12" s="1">
        <v>5</v>
      </c>
      <c r="O12" s="1">
        <v>2</v>
      </c>
      <c r="P12" s="30" t="s">
        <v>25</v>
      </c>
      <c r="Q12" s="29"/>
      <c r="R12" s="29"/>
      <c r="S12" s="29"/>
      <c r="T12" s="29"/>
      <c r="U12" s="29"/>
      <c r="V12" s="29"/>
      <c r="W12" s="29"/>
      <c r="X12" s="29"/>
      <c r="Y12" s="1">
        <f>Y11-(T8-V7)</f>
        <v>100</v>
      </c>
      <c r="Z12" s="1">
        <f>Z11-U8</f>
        <v>113</v>
      </c>
    </row>
    <row r="13" spans="2:26" ht="29.25" customHeight="1">
      <c r="B13" s="15" t="s">
        <v>43</v>
      </c>
      <c r="C13" s="15"/>
      <c r="D13" s="21" t="s">
        <v>44</v>
      </c>
      <c r="E13" s="21"/>
      <c r="F13" s="21"/>
      <c r="G13" s="21"/>
      <c r="H13" s="21"/>
      <c r="I13" s="21"/>
      <c r="J13" s="21"/>
      <c r="K13" s="21"/>
      <c r="L13" s="6" t="s">
        <v>24</v>
      </c>
      <c r="M13" s="6" t="s">
        <v>21</v>
      </c>
      <c r="N13" s="6">
        <v>8</v>
      </c>
      <c r="O13" s="6">
        <v>3</v>
      </c>
      <c r="P13" s="30" t="s">
        <v>28</v>
      </c>
      <c r="Q13" s="29"/>
      <c r="R13" s="29"/>
      <c r="S13" s="31"/>
      <c r="T13" s="32" t="s">
        <v>36</v>
      </c>
      <c r="U13" s="33"/>
      <c r="V13" s="34"/>
      <c r="W13" s="31"/>
      <c r="X13" s="35"/>
      <c r="Y13" s="1">
        <f>Y12-(T9-V8)</f>
        <v>0</v>
      </c>
      <c r="Z13" s="1">
        <f>Z12-U9</f>
        <v>0</v>
      </c>
    </row>
    <row r="14" spans="2:26" ht="29.25" customHeight="1">
      <c r="B14" s="14" t="s">
        <v>45</v>
      </c>
      <c r="C14" s="14"/>
      <c r="D14" s="21" t="s">
        <v>46</v>
      </c>
      <c r="E14" s="21"/>
      <c r="F14" s="21"/>
      <c r="G14" s="21"/>
      <c r="H14" s="21"/>
      <c r="I14" s="21"/>
      <c r="J14" s="21"/>
      <c r="K14" s="21"/>
      <c r="L14" s="1" t="s">
        <v>14</v>
      </c>
      <c r="M14" s="1" t="s">
        <v>15</v>
      </c>
      <c r="N14" s="1">
        <v>13</v>
      </c>
      <c r="O14" s="1">
        <v>1</v>
      </c>
      <c r="P14" s="30" t="s">
        <v>16</v>
      </c>
      <c r="Q14" s="29"/>
      <c r="R14" s="29"/>
      <c r="S14" s="36"/>
      <c r="T14" s="29"/>
      <c r="U14" s="29"/>
      <c r="V14" s="36"/>
      <c r="W14" s="31"/>
      <c r="X14" s="34"/>
      <c r="Y14" s="29"/>
      <c r="Z14" s="29"/>
    </row>
    <row r="15" spans="2:26" ht="36" customHeight="1">
      <c r="B15" s="14" t="s">
        <v>47</v>
      </c>
      <c r="C15" s="14"/>
      <c r="D15" s="23" t="s">
        <v>48</v>
      </c>
      <c r="E15" s="21"/>
      <c r="F15" s="21"/>
      <c r="G15" s="21"/>
      <c r="H15" s="21"/>
      <c r="I15" s="21"/>
      <c r="J15" s="21"/>
      <c r="K15" s="21"/>
      <c r="L15" s="6" t="s">
        <v>14</v>
      </c>
      <c r="M15" s="6" t="s">
        <v>15</v>
      </c>
      <c r="N15" s="6">
        <v>13</v>
      </c>
      <c r="O15" s="6">
        <v>2</v>
      </c>
      <c r="P15" s="30" t="s">
        <v>25</v>
      </c>
      <c r="Q15" s="29"/>
      <c r="R15" s="29"/>
      <c r="S15" s="37"/>
      <c r="T15" s="29"/>
      <c r="U15" s="29"/>
      <c r="V15" s="38"/>
      <c r="W15" s="39"/>
      <c r="X15" s="29"/>
      <c r="Y15" s="29"/>
      <c r="Z15" s="29"/>
    </row>
    <row r="16" spans="2:26" ht="36.75" customHeight="1">
      <c r="B16" s="14" t="s">
        <v>49</v>
      </c>
      <c r="C16" s="14"/>
      <c r="D16" s="23" t="s">
        <v>50</v>
      </c>
      <c r="E16" s="21"/>
      <c r="F16" s="21"/>
      <c r="G16" s="21"/>
      <c r="H16" s="21"/>
      <c r="I16" s="21"/>
      <c r="J16" s="21"/>
      <c r="K16" s="21"/>
      <c r="L16" s="6" t="s">
        <v>24</v>
      </c>
      <c r="M16" s="6" t="s">
        <v>39</v>
      </c>
      <c r="N16" s="6">
        <v>21</v>
      </c>
      <c r="O16" s="6">
        <v>2</v>
      </c>
      <c r="P16" s="30" t="s">
        <v>28</v>
      </c>
      <c r="Q16" s="29"/>
      <c r="R16" s="29"/>
      <c r="S16" s="40"/>
      <c r="T16" s="29"/>
      <c r="U16" s="29"/>
      <c r="V16" s="41"/>
      <c r="W16" s="42"/>
      <c r="X16" s="35"/>
      <c r="Y16" s="29"/>
      <c r="Z16" s="29"/>
    </row>
    <row r="17" spans="2:26" ht="34.5" customHeight="1">
      <c r="B17" s="14" t="s">
        <v>51</v>
      </c>
      <c r="C17" s="14"/>
      <c r="D17" s="17" t="s">
        <v>52</v>
      </c>
      <c r="E17" s="24"/>
      <c r="F17" s="24"/>
      <c r="G17" s="24"/>
      <c r="H17" s="24"/>
      <c r="I17" s="24"/>
      <c r="J17" s="24"/>
      <c r="K17" s="24"/>
      <c r="L17" s="6" t="s">
        <v>20</v>
      </c>
      <c r="M17" s="6" t="s">
        <v>21</v>
      </c>
      <c r="N17" s="6">
        <v>8</v>
      </c>
      <c r="O17" s="6">
        <v>3</v>
      </c>
      <c r="P17" s="30" t="s">
        <v>28</v>
      </c>
      <c r="Q17" s="29"/>
      <c r="R17" s="29"/>
      <c r="S17" s="43"/>
      <c r="T17" s="29"/>
      <c r="U17" s="29"/>
      <c r="V17" s="44"/>
      <c r="W17" s="45"/>
      <c r="X17" s="34"/>
      <c r="Y17" s="29"/>
      <c r="Z17" s="29"/>
    </row>
    <row r="18" spans="2:26" ht="27.75" customHeight="1">
      <c r="B18" s="14" t="s">
        <v>53</v>
      </c>
      <c r="C18" s="14"/>
      <c r="D18" s="24" t="s">
        <v>54</v>
      </c>
      <c r="E18" s="24"/>
      <c r="F18" s="24"/>
      <c r="G18" s="24"/>
      <c r="H18" s="24"/>
      <c r="I18" s="24"/>
      <c r="J18" s="24"/>
      <c r="K18" s="24"/>
      <c r="L18" s="1" t="s">
        <v>24</v>
      </c>
      <c r="M18" s="1" t="s">
        <v>15</v>
      </c>
      <c r="N18" s="1">
        <v>13</v>
      </c>
      <c r="O18" s="1">
        <v>2</v>
      </c>
      <c r="P18" s="30" t="s">
        <v>28</v>
      </c>
      <c r="Q18" s="29"/>
      <c r="R18" s="29"/>
      <c r="S18" s="43"/>
      <c r="T18" s="29"/>
      <c r="U18" s="29"/>
      <c r="V18" s="44"/>
      <c r="W18" s="45"/>
      <c r="X18" s="34"/>
      <c r="Y18" s="29"/>
      <c r="Z18" s="29"/>
    </row>
    <row r="19" spans="2:26" ht="30" customHeight="1">
      <c r="B19" s="14" t="s">
        <v>55</v>
      </c>
      <c r="C19" s="14"/>
      <c r="D19" s="17" t="s">
        <v>56</v>
      </c>
      <c r="E19" s="24"/>
      <c r="F19" s="24"/>
      <c r="G19" s="24"/>
      <c r="H19" s="24"/>
      <c r="I19" s="24"/>
      <c r="J19" s="24"/>
      <c r="K19" s="24"/>
      <c r="L19" s="1" t="s">
        <v>14</v>
      </c>
      <c r="M19" s="1" t="s">
        <v>21</v>
      </c>
      <c r="N19" s="1">
        <v>8</v>
      </c>
      <c r="O19" s="8">
        <v>1</v>
      </c>
      <c r="P19" s="30" t="s">
        <v>25</v>
      </c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2:26" ht="24" customHeight="1">
      <c r="B20" s="14" t="s">
        <v>57</v>
      </c>
      <c r="C20" s="14"/>
      <c r="D20" s="21" t="s">
        <v>58</v>
      </c>
      <c r="E20" s="21"/>
      <c r="F20" s="21"/>
      <c r="G20" s="21"/>
      <c r="H20" s="21"/>
      <c r="I20" s="21"/>
      <c r="J20" s="21"/>
      <c r="K20" s="21"/>
      <c r="L20" s="1" t="s">
        <v>20</v>
      </c>
      <c r="M20" s="1" t="s">
        <v>21</v>
      </c>
      <c r="N20" s="1">
        <v>8</v>
      </c>
      <c r="O20" s="1">
        <v>3</v>
      </c>
      <c r="P20" s="30" t="s">
        <v>28</v>
      </c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2:26" ht="27" customHeight="1">
      <c r="B21" s="20" t="s">
        <v>59</v>
      </c>
      <c r="C21" s="20"/>
      <c r="D21" s="21" t="s">
        <v>60</v>
      </c>
      <c r="E21" s="21"/>
      <c r="F21" s="21"/>
      <c r="G21" s="21"/>
      <c r="H21" s="21"/>
      <c r="I21" s="21"/>
      <c r="J21" s="21"/>
      <c r="K21" s="21"/>
      <c r="L21" s="6" t="s">
        <v>24</v>
      </c>
      <c r="M21" s="6" t="s">
        <v>21</v>
      </c>
      <c r="N21" s="6">
        <v>8</v>
      </c>
      <c r="O21" s="6">
        <v>2</v>
      </c>
      <c r="P21" s="30" t="s">
        <v>28</v>
      </c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2:26" ht="32.25" customHeight="1">
      <c r="B22" s="15" t="s">
        <v>61</v>
      </c>
      <c r="C22" s="15"/>
      <c r="D22" s="23" t="s">
        <v>62</v>
      </c>
      <c r="E22" s="23"/>
      <c r="F22" s="23"/>
      <c r="G22" s="23"/>
      <c r="H22" s="23"/>
      <c r="I22" s="23"/>
      <c r="J22" s="23"/>
      <c r="K22" s="23"/>
      <c r="L22" s="6" t="s">
        <v>24</v>
      </c>
      <c r="M22" s="6" t="s">
        <v>15</v>
      </c>
      <c r="N22" s="6">
        <v>13</v>
      </c>
      <c r="O22" s="6">
        <v>3</v>
      </c>
      <c r="P22" s="30" t="s">
        <v>28</v>
      </c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2:26"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2:26">
      <c r="D24" s="25"/>
      <c r="E24" s="25"/>
      <c r="F24" s="25"/>
      <c r="G24" s="25"/>
      <c r="H24" s="25"/>
      <c r="I24" s="25"/>
      <c r="J24" s="25"/>
      <c r="K24" s="25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2:26">
      <c r="D25" s="25"/>
      <c r="E25" s="25"/>
      <c r="F25" s="25"/>
      <c r="G25" s="25"/>
      <c r="H25" s="25"/>
      <c r="I25" s="25"/>
      <c r="J25" s="25"/>
      <c r="K25" s="25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2:26">
      <c r="D26" s="25"/>
      <c r="E26" s="25"/>
      <c r="F26" s="25"/>
      <c r="G26" s="25"/>
      <c r="H26" s="25"/>
      <c r="I26" s="25"/>
      <c r="J26" s="25"/>
      <c r="K26" s="25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2:26">
      <c r="D27" s="25"/>
      <c r="E27" s="25"/>
      <c r="F27" s="25"/>
      <c r="G27" s="25"/>
      <c r="H27" s="25"/>
      <c r="I27" s="25"/>
      <c r="J27" s="25"/>
      <c r="K27" s="25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2:26">
      <c r="D28" s="25"/>
      <c r="E28" s="25"/>
      <c r="F28" s="25"/>
      <c r="G28" s="25"/>
      <c r="H28" s="25"/>
      <c r="I28" s="25"/>
      <c r="J28" s="25"/>
      <c r="K28" s="25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2:26">
      <c r="B29" s="22"/>
      <c r="C29" s="22"/>
      <c r="D29" s="25"/>
      <c r="E29" s="25"/>
      <c r="F29" s="25"/>
      <c r="G29" s="25"/>
      <c r="H29" s="25"/>
      <c r="I29" s="25"/>
      <c r="J29" s="25"/>
      <c r="K29" s="25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2:26">
      <c r="D30" s="25"/>
      <c r="E30" s="25"/>
      <c r="F30" s="25"/>
      <c r="G30" s="25"/>
      <c r="H30" s="25"/>
      <c r="I30" s="25"/>
      <c r="J30" s="25"/>
      <c r="K30" s="25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2:26" ht="32.25" customHeight="1">
      <c r="B31" s="22"/>
      <c r="C31" s="22"/>
      <c r="D31" s="26"/>
      <c r="E31" s="26"/>
      <c r="F31" s="26"/>
      <c r="G31" s="26"/>
      <c r="H31" s="26"/>
      <c r="I31" s="26"/>
      <c r="J31" s="26"/>
      <c r="K31" s="26"/>
    </row>
    <row r="32" spans="2:26" ht="44.25" customHeight="1">
      <c r="B32" s="22"/>
      <c r="C32" s="22"/>
      <c r="D32" s="26"/>
      <c r="E32" s="26"/>
      <c r="F32" s="26"/>
      <c r="G32" s="26"/>
      <c r="H32" s="26"/>
      <c r="I32" s="26"/>
      <c r="J32" s="26"/>
      <c r="K32" s="26"/>
    </row>
    <row r="33" spans="2:11" ht="48" customHeight="1">
      <c r="B33" s="22"/>
      <c r="C33" s="22"/>
      <c r="D33" s="26"/>
      <c r="E33" s="26"/>
      <c r="F33" s="26"/>
      <c r="G33" s="26"/>
      <c r="H33" s="26"/>
      <c r="I33" s="26"/>
      <c r="J33" s="26"/>
      <c r="K33" s="26"/>
    </row>
    <row r="34" spans="2:11" ht="66.75" customHeight="1">
      <c r="B34" s="22"/>
      <c r="C34" s="22"/>
      <c r="D34" s="26"/>
      <c r="E34" s="26"/>
      <c r="F34" s="26"/>
      <c r="G34" s="26"/>
      <c r="H34" s="26"/>
      <c r="I34" s="26"/>
      <c r="J34" s="26"/>
      <c r="K34" s="26"/>
    </row>
    <row r="35" spans="2:11" ht="60" customHeight="1">
      <c r="B35" s="22"/>
      <c r="C35" s="22"/>
      <c r="D35" s="26"/>
      <c r="E35" s="26"/>
      <c r="F35" s="26"/>
      <c r="G35" s="26"/>
      <c r="H35" s="26"/>
      <c r="I35" s="26"/>
      <c r="J35" s="26"/>
      <c r="K35" s="26"/>
    </row>
    <row r="36" spans="2:11" ht="37.5" customHeight="1">
      <c r="B36" s="22"/>
      <c r="C36" s="22"/>
      <c r="D36" s="26"/>
      <c r="E36" s="26"/>
      <c r="F36" s="26"/>
      <c r="G36" s="26"/>
      <c r="H36" s="26"/>
      <c r="I36" s="26"/>
      <c r="J36" s="26"/>
      <c r="K36" s="26"/>
    </row>
    <row r="37" spans="2:11" ht="36" customHeight="1">
      <c r="B37" s="22"/>
      <c r="C37" s="22"/>
      <c r="D37" s="26"/>
      <c r="E37" s="26"/>
      <c r="F37" s="26"/>
      <c r="G37" s="26"/>
      <c r="H37" s="26"/>
      <c r="I37" s="26"/>
      <c r="J37" s="26"/>
      <c r="K37" s="26"/>
    </row>
    <row r="38" spans="2:11" ht="39" customHeight="1">
      <c r="B38" s="27"/>
      <c r="C38" s="27"/>
      <c r="D38" s="26"/>
      <c r="E38" s="26"/>
      <c r="F38" s="26"/>
      <c r="G38" s="26"/>
      <c r="H38" s="26"/>
      <c r="I38" s="26"/>
      <c r="J38" s="26"/>
      <c r="K38" s="26"/>
    </row>
    <row r="39" spans="2:11" ht="19.5" customHeight="1">
      <c r="B39" s="22"/>
      <c r="C39" s="22"/>
      <c r="D39" s="26"/>
      <c r="E39" s="26"/>
      <c r="F39" s="26"/>
      <c r="G39" s="26"/>
      <c r="H39" s="26"/>
      <c r="I39" s="26"/>
      <c r="J39" s="26"/>
      <c r="K39" s="26"/>
    </row>
    <row r="40" spans="2:11">
      <c r="B40" s="22"/>
      <c r="C40" s="22"/>
      <c r="D40" s="28"/>
      <c r="E40" s="26"/>
      <c r="F40" s="26"/>
      <c r="G40" s="26"/>
      <c r="H40" s="26"/>
      <c r="I40" s="26"/>
      <c r="J40" s="26"/>
      <c r="K40" s="26"/>
    </row>
    <row r="41" spans="2:11">
      <c r="B41" s="22"/>
      <c r="C41" s="22"/>
      <c r="D41" s="26"/>
      <c r="E41" s="26"/>
      <c r="F41" s="26"/>
      <c r="G41" s="26"/>
      <c r="H41" s="26"/>
      <c r="I41" s="26"/>
      <c r="J41" s="26"/>
      <c r="K41" s="26"/>
    </row>
    <row r="42" spans="2:11">
      <c r="B42" s="22"/>
      <c r="C42" s="22"/>
      <c r="D42" s="28"/>
      <c r="E42" s="26"/>
      <c r="F42" s="26"/>
      <c r="G42" s="26"/>
      <c r="H42" s="26"/>
      <c r="I42" s="26"/>
      <c r="J42" s="26"/>
      <c r="K42" s="26"/>
    </row>
  </sheetData>
  <autoFilter ref="P3:P22" xr:uid="{00000000-0001-0000-0000-000000000000}"/>
  <mergeCells count="66">
    <mergeCell ref="B40:C40"/>
    <mergeCell ref="B39:C39"/>
    <mergeCell ref="B41:C41"/>
    <mergeCell ref="B42:C42"/>
    <mergeCell ref="D40:K40"/>
    <mergeCell ref="D41:K41"/>
    <mergeCell ref="D42:K42"/>
    <mergeCell ref="D36:K36"/>
    <mergeCell ref="D37:K37"/>
    <mergeCell ref="D38:K38"/>
    <mergeCell ref="D39:K39"/>
    <mergeCell ref="B32:C32"/>
    <mergeCell ref="B36:C36"/>
    <mergeCell ref="B37:C37"/>
    <mergeCell ref="B38:C38"/>
    <mergeCell ref="B35:C35"/>
    <mergeCell ref="D32:K32"/>
    <mergeCell ref="D33:K33"/>
    <mergeCell ref="D34:K34"/>
    <mergeCell ref="D35:K35"/>
    <mergeCell ref="B34:C34"/>
    <mergeCell ref="B33:C33"/>
    <mergeCell ref="D29:K29"/>
    <mergeCell ref="D30:K30"/>
    <mergeCell ref="D31:K31"/>
    <mergeCell ref="D22:K22"/>
    <mergeCell ref="D24:K24"/>
    <mergeCell ref="D25:K25"/>
    <mergeCell ref="D26:K26"/>
    <mergeCell ref="D27:K27"/>
    <mergeCell ref="B31:C31"/>
    <mergeCell ref="B21:C21"/>
    <mergeCell ref="B22:C22"/>
    <mergeCell ref="D15:K15"/>
    <mergeCell ref="D14:K14"/>
    <mergeCell ref="D16:K16"/>
    <mergeCell ref="D17:K17"/>
    <mergeCell ref="D18:K18"/>
    <mergeCell ref="D13:K13"/>
    <mergeCell ref="B13:C13"/>
    <mergeCell ref="D19:K19"/>
    <mergeCell ref="D20:K20"/>
    <mergeCell ref="D21:K21"/>
    <mergeCell ref="D28:K28"/>
    <mergeCell ref="B29:C29"/>
    <mergeCell ref="B2:P2"/>
    <mergeCell ref="D4:K4"/>
    <mergeCell ref="D5:K5"/>
    <mergeCell ref="D7:K7"/>
    <mergeCell ref="D8:K8"/>
    <mergeCell ref="D3:K3"/>
    <mergeCell ref="B3:C3"/>
    <mergeCell ref="B4:C4"/>
    <mergeCell ref="B5:C5"/>
    <mergeCell ref="B7:C7"/>
    <mergeCell ref="B6:C6"/>
    <mergeCell ref="D6:K6"/>
    <mergeCell ref="B8:C8"/>
    <mergeCell ref="B9:C9"/>
    <mergeCell ref="B10:C10"/>
    <mergeCell ref="B12:C12"/>
    <mergeCell ref="D12:K12"/>
    <mergeCell ref="D11:K11"/>
    <mergeCell ref="B11:C11"/>
    <mergeCell ref="D9:K9"/>
    <mergeCell ref="D10:K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Product Backlog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Giovanna Oliveira</cp:lastModifiedBy>
  <cp:revision/>
  <dcterms:created xsi:type="dcterms:W3CDTF">2025-11-05T14:55:44Z</dcterms:created>
  <dcterms:modified xsi:type="dcterms:W3CDTF">2026-06-03T20:38:39Z</dcterms:modified>
  <cp:category/>
  <cp:contentStatus/>
</cp:coreProperties>
</file>