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/>
  <xr:revisionPtr revIDLastSave="1037" documentId="11_7F4755BF84DCCE43E268565A8931F45BFA75341E" xr6:coauthVersionLast="47" xr6:coauthVersionMax="47" xr10:uidLastSave="{8B76664C-29C9-406B-925A-01350AABF142}"/>
  <bookViews>
    <workbookView xWindow="240" yWindow="105" windowWidth="14805" windowHeight="8010" xr2:uid="{00000000-000D-0000-FFFF-FFFF00000000}"/>
  </bookViews>
  <sheets>
    <sheet name="Product Backlog" sheetId="1" r:id="rId1"/>
  </sheets>
  <definedNames>
    <definedName name="_xlnm._FilterDatabase" localSheetId="0" hidden="1">'Product Backlog'!$P$3:$P$14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3" i="1" l="1"/>
  <c r="AN4" i="1"/>
  <c r="AL6" i="1"/>
  <c r="AL7" i="1"/>
  <c r="AL5" i="1"/>
  <c r="AM14" i="1"/>
  <c r="AM15" i="1" s="1"/>
  <c r="AL13" i="1"/>
  <c r="AL4" i="1"/>
  <c r="AO5" i="1"/>
  <c r="AM6" i="1" l="1"/>
  <c r="AL14" i="1"/>
  <c r="AO6" i="1" l="1"/>
  <c r="AM7" i="1" s="1"/>
  <c r="AL15" i="1" s="1"/>
  <c r="AO7" i="1" l="1"/>
  <c r="AO4" i="1" s="1"/>
</calcChain>
</file>

<file path=xl/sharedStrings.xml><?xml version="1.0" encoding="utf-8"?>
<sst xmlns="http://schemas.openxmlformats.org/spreadsheetml/2006/main" count="116" uniqueCount="63">
  <si>
    <t>BACKLOG - TECH MUSIC</t>
  </si>
  <si>
    <t>Requisito</t>
  </si>
  <si>
    <t>Descrição</t>
  </si>
  <si>
    <t>Classificação</t>
  </si>
  <si>
    <t>Tamanho</t>
  </si>
  <si>
    <t>Tam(#)</t>
  </si>
  <si>
    <t>Prioridade</t>
  </si>
  <si>
    <t>SPRINT</t>
  </si>
  <si>
    <t>Pontos Fibonacci</t>
  </si>
  <si>
    <t>Planejado</t>
  </si>
  <si>
    <t>Entregue</t>
  </si>
  <si>
    <t>Pendente</t>
  </si>
  <si>
    <t>Documentar o projeto</t>
  </si>
  <si>
    <t>Criar uma documentação completa com contexto, objetivo, justificativa, escopo, premissas, restriçôes, diagrama de funcionamento e solução técnica, metodologia utilizada, açôes futuras e bibliografia.</t>
  </si>
  <si>
    <t>Essencial</t>
  </si>
  <si>
    <t>G</t>
  </si>
  <si>
    <t>SP1</t>
  </si>
  <si>
    <t>TOTAL</t>
  </si>
  <si>
    <t>Criar prótotipo do Site</t>
  </si>
  <si>
    <t>Desenvolver um protótipo do site, para visualizar como será a interface antes de iniciar a implementação.</t>
  </si>
  <si>
    <t>Desejável</t>
  </si>
  <si>
    <t>M</t>
  </si>
  <si>
    <t>Criar wireframe</t>
  </si>
  <si>
    <t>Criar wireframe das principais telas para definir estrutura, navegação e usabilidade.</t>
  </si>
  <si>
    <t>Importante</t>
  </si>
  <si>
    <t>SP2</t>
  </si>
  <si>
    <t>Desenvolver um website</t>
  </si>
  <si>
    <t>Desenvolver o site completo usando HTML, CSS e JavaScript. O site deve seguir o protótipo terr todas as funcionalidades previstas no projeto.</t>
  </si>
  <si>
    <t>SP3</t>
  </si>
  <si>
    <t>Fazer Tela de Cadastro</t>
  </si>
  <si>
    <t>Criar a tela onde o usuário poderá registrar sua conta, informando os dados solicitados. Implementar validações, respostas e boa usabilidade.</t>
  </si>
  <si>
    <t>TOTAL FINAL</t>
  </si>
  <si>
    <t>Fazer Tela de Login</t>
  </si>
  <si>
    <t>Desenvolver a tela onde o usuário poderá acessar o sistema informando email e senha com validação de campos.</t>
  </si>
  <si>
    <t xml:space="preserve">Tela de cadastro e logi nfuncionando com API </t>
  </si>
  <si>
    <t>Integrar as telas de cadastro e login com uma API real. As informações devem ser enviadas ao backend, validadas e armazenadas no banco de dados.</t>
  </si>
  <si>
    <t>DADOS DO GRÁFICO</t>
  </si>
  <si>
    <t>Desenvolver Dashboard  com Indicadores</t>
  </si>
  <si>
    <t>Desenvolver uma dashboard geral de artistas com barra de busca, filtros por gênero e categoria (Famoso, Emergente, Underground), KPIs de média de popularidade, total de streams e média de engajamento, além de uma tabela com nome do artista, popularidade, seguidores, streams, visualizações, engajamento e botão para visualizar detalhes.</t>
  </si>
  <si>
    <t>GG</t>
  </si>
  <si>
    <t>Desenvolver DER</t>
  </si>
  <si>
    <t>Criar a modelagem lógica do banco de dados, representando tabelas, atributos, chaves primárias, chaves estrangeiras e relacionamentos entre entidades.</t>
  </si>
  <si>
    <t>P</t>
  </si>
  <si>
    <t xml:space="preserve">Extração com ApachePOI </t>
  </si>
  <si>
    <t>Extrair dados de arquivos utilizando ApachePOI e preparar para importação no bamco</t>
  </si>
  <si>
    <t>Camada de segurança em infraestrutura nuvem AWS com IAM</t>
  </si>
  <si>
    <t>Configurar a camada de segurança na infraestrutura AWS utilizando IAM. Definir usuários permissões e politicas de acesso.</t>
  </si>
  <si>
    <t>Análise de arquivo extraído e inserção de informação no BD</t>
  </si>
  <si>
    <t>Realizar análise e tratamento dos dados extraídos e inserir as informações no banco de dados de forma consistente e validada.</t>
  </si>
  <si>
    <t>Dashboard com gráficos e indicadores úteis</t>
  </si>
  <si>
    <t>Desenvolver dashboards com gráficos e indicadores relevantes para análise de desempenho e
comportamento dos artistas e músicas.</t>
  </si>
  <si>
    <t>Envio de notificações utilizando Slack e/ou Java Mail</t>
  </si>
  <si>
    <t>Implementar o envio de notificações automáticas via Slack e/ou e-mail (Java Mail) para eventos
importantes do sistema.</t>
  </si>
  <si>
    <t>Dockerização e agendamento da execução  Java em EC2</t>
  </si>
  <si>
    <t>Containerizar a aplicação Java com Docker e configurar o agendamento da execução em instância EC2.</t>
  </si>
  <si>
    <t>Responsividade obrigatória no site Institucional</t>
  </si>
  <si>
    <t>Garantir que o site institucional seja totalmente responsivo em diferentes dispositivos (desktop, tablet e mobile).</t>
  </si>
  <si>
    <t>Parametrização em Web do envio de notificações</t>
  </si>
  <si>
    <t>Criar interface web para parametrizar os tipos de notificação, destinatários, frequência e condições de envio.</t>
  </si>
  <si>
    <t>Logs do serviço Java em BD</t>
  </si>
  <si>
    <t>Registrar logs detalhados da execução do serviço Java e armazená-los no banco de dados para auditoria e monitoramento.</t>
  </si>
  <si>
    <t>Leitura de arquivos armazenados em S3</t>
  </si>
  <si>
    <t>Ler arquivos armazenados em bucket S3 da AWS, recuperando os dados para processamento e integração com o banco de dados, garantindo segurança de acesso.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</si>
</sst>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249977111117893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4.9989318521683403E-2"/>
      </right>
      <top/>
      <bottom style="thin">
        <color theme="0" tint="-0.14999847407452621"/>
      </bottom>
      <diagonal/>
    </border>
    <border>
      <left style="thin">
        <color theme="0" tint="-4.9989318521683403E-2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2" borderId="0" xfId="0" applyFont="1" applyFill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0" borderId="7" xfId="0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0" fillId="0" borderId="13" xfId="0" applyBorder="1"/>
    <xf numFmtId="0" fontId="2" fillId="2" borderId="15" xfId="0" applyFont="1" applyFill="1" applyBorder="1" applyAlignment="1">
      <alignment horizontal="center"/>
    </xf>
    <xf numFmtId="0" fontId="0" fillId="2" borderId="12" xfId="0" applyFill="1" applyBorder="1"/>
    <xf numFmtId="0" fontId="1" fillId="2" borderId="14" xfId="0" applyFont="1" applyFill="1" applyBorder="1" applyAlignment="1">
      <alignment horizontal="center"/>
    </xf>
    <xf numFmtId="0" fontId="0" fillId="2" borderId="0" xfId="0" applyFill="1"/>
    <xf numFmtId="0" fontId="0" fillId="2" borderId="17" xfId="0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0" fillId="2" borderId="18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/>
    <xf numFmtId="0" fontId="0" fillId="2" borderId="13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6" fillId="4" borderId="1" xfId="0" applyFont="1" applyFill="1" applyBorder="1" applyAlignment="1">
      <alignment horizontal="center" vertical="center"/>
    </xf>
    <xf numFmtId="0" fontId="0" fillId="2" borderId="1" xfId="0" quotePrefix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0" fontId="1" fillId="5" borderId="16" xfId="0" applyFont="1" applyFill="1" applyBorder="1" applyAlignment="1">
      <alignment vertical="center"/>
    </xf>
    <xf numFmtId="0" fontId="1" fillId="5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left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C535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'Product Backlog'!$AL$11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'Product Backlog'!AK4:AK7</c:f>
              <c:strCache>
                <c:ptCount val="4"/>
                <c:pt idx="0">
                  <c:v>TOTAL</c:v>
                </c:pt>
                <c:pt idx="1">
                  <c:v>SP1</c:v>
                </c:pt>
                <c:pt idx="2">
                  <c:v>SP2</c:v>
                </c:pt>
                <c:pt idx="3">
                  <c:v>SP3</c:v>
                </c:pt>
              </c:strCache>
            </c:strRef>
          </c:cat>
          <c:val>
            <c:numRef>
              <c:f>'Product Backlog'!$AL$12:$AL$15</c:f>
              <c:numCache>
                <c:formatCode>General</c:formatCode>
                <c:ptCount val="4"/>
                <c:pt idx="0">
                  <c:v>215</c:v>
                </c:pt>
                <c:pt idx="1">
                  <c:v>173</c:v>
                </c:pt>
                <c:pt idx="2">
                  <c:v>100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C6-4839-B494-903204B6F16D}"/>
            </c:ext>
          </c:extLst>
        </c:ser>
        <c:ser>
          <c:idx val="1"/>
          <c:order val="1"/>
          <c:tx>
            <c:strRef>
              <c:f>'Product Backlog'!$AM$11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cat>
            <c:strRef>
              <c:f>'Product Backlog'!AK4:AK7</c:f>
              <c:strCache>
                <c:ptCount val="4"/>
                <c:pt idx="0">
                  <c:v>TOTAL</c:v>
                </c:pt>
                <c:pt idx="1">
                  <c:v>SP1</c:v>
                </c:pt>
                <c:pt idx="2">
                  <c:v>SP2</c:v>
                </c:pt>
                <c:pt idx="3">
                  <c:v>SP3</c:v>
                </c:pt>
              </c:strCache>
            </c:strRef>
          </c:cat>
          <c:val>
            <c:numRef>
              <c:f>'Product Backlog'!$AM$12:$AM$15</c:f>
              <c:numCache>
                <c:formatCode>General</c:formatCode>
                <c:ptCount val="4"/>
                <c:pt idx="0">
                  <c:v>215</c:v>
                </c:pt>
                <c:pt idx="1">
                  <c:v>176</c:v>
                </c:pt>
                <c:pt idx="2">
                  <c:v>113</c:v>
                </c:pt>
                <c:pt idx="3">
                  <c:v>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C6-4839-B494-903204B6F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1917703"/>
        <c:axId val="781953543"/>
      </c:lineChart>
      <c:catAx>
        <c:axId val="781917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953543"/>
        <c:crosses val="autoZero"/>
        <c:auto val="1"/>
        <c:lblAlgn val="ctr"/>
        <c:lblOffset val="100"/>
        <c:noMultiLvlLbl val="0"/>
      </c:catAx>
      <c:valAx>
        <c:axId val="781953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917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0</xdr:colOff>
      <xdr:row>2</xdr:row>
      <xdr:rowOff>38100</xdr:rowOff>
    </xdr:from>
    <xdr:to>
      <xdr:col>49</xdr:col>
      <xdr:colOff>304800</xdr:colOff>
      <xdr:row>10</xdr:row>
      <xdr:rowOff>9525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65BF2FB-8CA9-D9F0-73FA-A62228C7E513}"/>
            </a:ext>
            <a:ext uri="{147F2762-F138-4A5C-976F-8EAC2B608ADB}">
              <a16:predDERef xmlns:a16="http://schemas.microsoft.com/office/drawing/2014/main" pred="{C2913DEA-7040-3F00-EEBE-B5F476FDE7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P42"/>
  <sheetViews>
    <sheetView tabSelected="1" topLeftCell="K1" workbookViewId="0">
      <selection activeCell="AJ2" sqref="AJ2:AX15"/>
    </sheetView>
  </sheetViews>
  <sheetFormatPr defaultRowHeight="15"/>
  <cols>
    <col min="1" max="1" width="7.5703125" customWidth="1"/>
    <col min="2" max="2" width="36.5703125" bestFit="1" customWidth="1"/>
    <col min="3" max="3" width="18.7109375" customWidth="1"/>
    <col min="9" max="9" width="9.42578125" bestFit="1" customWidth="1"/>
    <col min="11" max="11" width="47.85546875" customWidth="1"/>
    <col min="12" max="12" width="12.42578125" bestFit="1" customWidth="1"/>
    <col min="15" max="15" width="9.7109375" bestFit="1" customWidth="1"/>
    <col min="18" max="18" width="12.5703125" customWidth="1"/>
    <col min="19" max="19" width="16.7109375" customWidth="1"/>
    <col min="20" max="20" width="11.28515625" customWidth="1"/>
    <col min="21" max="21" width="11.42578125" customWidth="1"/>
    <col min="22" max="22" width="11" customWidth="1"/>
  </cols>
  <sheetData>
    <row r="2" spans="2:42" ht="20.25" customHeight="1">
      <c r="B2" s="47" t="s">
        <v>0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AJ2" s="18"/>
      <c r="AK2" s="18"/>
      <c r="AL2" s="18"/>
      <c r="AM2" s="18"/>
      <c r="AN2" s="18"/>
      <c r="AO2" s="18"/>
    </row>
    <row r="3" spans="2:42" ht="22.5" customHeight="1">
      <c r="B3" s="48" t="s">
        <v>1</v>
      </c>
      <c r="C3" s="48"/>
      <c r="D3" s="48" t="s">
        <v>2</v>
      </c>
      <c r="E3" s="48"/>
      <c r="F3" s="48"/>
      <c r="G3" s="48"/>
      <c r="H3" s="48"/>
      <c r="I3" s="48"/>
      <c r="J3" s="48"/>
      <c r="K3" s="48"/>
      <c r="L3" s="27" t="s">
        <v>3</v>
      </c>
      <c r="M3" s="27" t="s">
        <v>4</v>
      </c>
      <c r="N3" s="27" t="s">
        <v>5</v>
      </c>
      <c r="O3" s="27" t="s">
        <v>6</v>
      </c>
      <c r="P3" s="27" t="s">
        <v>7</v>
      </c>
      <c r="AJ3" s="18"/>
      <c r="AK3" s="20" t="s">
        <v>7</v>
      </c>
      <c r="AL3" s="32" t="s">
        <v>8</v>
      </c>
      <c r="AM3" s="33" t="s">
        <v>9</v>
      </c>
      <c r="AN3" s="33" t="s">
        <v>10</v>
      </c>
      <c r="AO3" s="33" t="s">
        <v>11</v>
      </c>
    </row>
    <row r="4" spans="2:42" ht="34.5" customHeight="1">
      <c r="B4" s="41" t="s">
        <v>12</v>
      </c>
      <c r="C4" s="41"/>
      <c r="D4" s="45" t="s">
        <v>13</v>
      </c>
      <c r="E4" s="45"/>
      <c r="F4" s="45"/>
      <c r="G4" s="45"/>
      <c r="H4" s="45"/>
      <c r="I4" s="45"/>
      <c r="J4" s="45"/>
      <c r="K4" s="45"/>
      <c r="L4" s="2" t="s">
        <v>14</v>
      </c>
      <c r="M4" s="2" t="s">
        <v>15</v>
      </c>
      <c r="N4" s="2">
        <v>13</v>
      </c>
      <c r="O4" s="2">
        <v>1</v>
      </c>
      <c r="P4" s="2" t="s">
        <v>16</v>
      </c>
      <c r="AJ4" s="18"/>
      <c r="AK4" s="30" t="s">
        <v>17</v>
      </c>
      <c r="AL4" s="2">
        <f>AL5+AL6+AL7</f>
        <v>215</v>
      </c>
      <c r="AM4" s="19">
        <v>215</v>
      </c>
      <c r="AN4" s="2">
        <f>AN5+AN6+AN7</f>
        <v>102</v>
      </c>
      <c r="AO4" s="2">
        <f>AO7</f>
        <v>113</v>
      </c>
    </row>
    <row r="5" spans="2:42" ht="30" customHeight="1">
      <c r="B5" s="41" t="s">
        <v>18</v>
      </c>
      <c r="C5" s="41"/>
      <c r="D5" s="45" t="s">
        <v>19</v>
      </c>
      <c r="E5" s="45"/>
      <c r="F5" s="45"/>
      <c r="G5" s="45"/>
      <c r="H5" s="45"/>
      <c r="I5" s="45"/>
      <c r="J5" s="45"/>
      <c r="K5" s="45"/>
      <c r="L5" s="2" t="s">
        <v>20</v>
      </c>
      <c r="M5" s="2" t="s">
        <v>21</v>
      </c>
      <c r="N5" s="2">
        <v>8</v>
      </c>
      <c r="O5" s="2">
        <v>3</v>
      </c>
      <c r="P5" s="2" t="s">
        <v>16</v>
      </c>
      <c r="AJ5" s="18"/>
      <c r="AK5" s="29" t="s">
        <v>16</v>
      </c>
      <c r="AL5" s="21">
        <f>N4+N5+N6+N14</f>
        <v>42</v>
      </c>
      <c r="AM5" s="2">
        <v>42</v>
      </c>
      <c r="AN5" s="2">
        <v>39</v>
      </c>
      <c r="AO5" s="2">
        <f>AM5-AN5</f>
        <v>3</v>
      </c>
    </row>
    <row r="6" spans="2:42" ht="25.5" customHeight="1">
      <c r="B6" s="50" t="s">
        <v>22</v>
      </c>
      <c r="C6" s="50"/>
      <c r="D6" s="42" t="s">
        <v>23</v>
      </c>
      <c r="E6" s="42"/>
      <c r="F6" s="42"/>
      <c r="G6" s="42"/>
      <c r="H6" s="42"/>
      <c r="I6" s="42"/>
      <c r="J6" s="42"/>
      <c r="K6" s="42"/>
      <c r="L6" s="25" t="s">
        <v>24</v>
      </c>
      <c r="M6" s="25" t="s">
        <v>21</v>
      </c>
      <c r="N6" s="25">
        <v>8</v>
      </c>
      <c r="O6" s="25">
        <v>2</v>
      </c>
      <c r="P6" s="25" t="s">
        <v>16</v>
      </c>
      <c r="AJ6" s="18"/>
      <c r="AK6" s="29" t="s">
        <v>25</v>
      </c>
      <c r="AL6" s="2">
        <f>N7+N8+N9+N10+N12+N15+N19</f>
        <v>73</v>
      </c>
      <c r="AM6" s="2">
        <f>AL6+AO5</f>
        <v>76</v>
      </c>
      <c r="AN6" s="2">
        <v>63</v>
      </c>
      <c r="AO6" s="2">
        <f>AM6-AN6</f>
        <v>13</v>
      </c>
    </row>
    <row r="7" spans="2:42" ht="32.25" customHeight="1">
      <c r="B7" s="49" t="s">
        <v>26</v>
      </c>
      <c r="C7" s="49"/>
      <c r="D7" s="45" t="s">
        <v>27</v>
      </c>
      <c r="E7" s="45"/>
      <c r="F7" s="45"/>
      <c r="G7" s="45"/>
      <c r="H7" s="45"/>
      <c r="I7" s="45"/>
      <c r="J7" s="45"/>
      <c r="K7" s="45"/>
      <c r="L7" s="2" t="s">
        <v>14</v>
      </c>
      <c r="M7" s="2" t="s">
        <v>15</v>
      </c>
      <c r="N7" s="2">
        <v>13</v>
      </c>
      <c r="O7" s="2">
        <v>2</v>
      </c>
      <c r="P7" s="2" t="s">
        <v>25</v>
      </c>
      <c r="AJ7" s="18"/>
      <c r="AK7" s="31" t="s">
        <v>28</v>
      </c>
      <c r="AL7" s="22">
        <f>N11+N13+N16+N17+N18+N20+N21+N22</f>
        <v>100</v>
      </c>
      <c r="AM7" s="22">
        <f>AL7+AO6</f>
        <v>113</v>
      </c>
      <c r="AN7" s="22">
        <v>0</v>
      </c>
      <c r="AO7" s="22">
        <f>AM7-AN7</f>
        <v>113</v>
      </c>
    </row>
    <row r="8" spans="2:42" ht="31.5" customHeight="1">
      <c r="B8" s="41" t="s">
        <v>29</v>
      </c>
      <c r="C8" s="41"/>
      <c r="D8" s="45" t="s">
        <v>30</v>
      </c>
      <c r="E8" s="45"/>
      <c r="F8" s="45"/>
      <c r="G8" s="45"/>
      <c r="H8" s="45"/>
      <c r="I8" s="45"/>
      <c r="J8" s="45"/>
      <c r="K8" s="45"/>
      <c r="L8" s="2" t="s">
        <v>14</v>
      </c>
      <c r="M8" s="2" t="s">
        <v>15</v>
      </c>
      <c r="N8" s="2">
        <v>13</v>
      </c>
      <c r="O8" s="2">
        <v>1</v>
      </c>
      <c r="P8" s="2" t="s">
        <v>25</v>
      </c>
      <c r="AJ8" s="18"/>
      <c r="AK8" s="29" t="s">
        <v>31</v>
      </c>
      <c r="AL8" s="2">
        <v>0</v>
      </c>
      <c r="AM8" s="2">
        <v>0</v>
      </c>
      <c r="AN8" s="2">
        <v>0</v>
      </c>
      <c r="AO8" s="2"/>
    </row>
    <row r="9" spans="2:42" ht="27.75" customHeight="1">
      <c r="B9" s="41" t="s">
        <v>32</v>
      </c>
      <c r="C9" s="41"/>
      <c r="D9" s="45" t="s">
        <v>33</v>
      </c>
      <c r="E9" s="45"/>
      <c r="F9" s="45"/>
      <c r="G9" s="45"/>
      <c r="H9" s="45"/>
      <c r="I9" s="45"/>
      <c r="J9" s="45"/>
      <c r="K9" s="45"/>
      <c r="L9" s="2" t="s">
        <v>14</v>
      </c>
      <c r="M9" s="2" t="s">
        <v>21</v>
      </c>
      <c r="N9" s="2">
        <v>8</v>
      </c>
      <c r="O9" s="2">
        <v>1</v>
      </c>
      <c r="P9" s="2" t="s">
        <v>25</v>
      </c>
      <c r="AJ9" s="18"/>
      <c r="AK9" s="18"/>
      <c r="AL9" s="18"/>
      <c r="AM9" s="18"/>
      <c r="AN9" s="18"/>
      <c r="AO9" s="18"/>
    </row>
    <row r="10" spans="2:42" ht="33.75" customHeight="1">
      <c r="B10" s="49" t="s">
        <v>34</v>
      </c>
      <c r="C10" s="49"/>
      <c r="D10" s="45" t="s">
        <v>35</v>
      </c>
      <c r="E10" s="45"/>
      <c r="F10" s="45"/>
      <c r="G10" s="45"/>
      <c r="H10" s="45"/>
      <c r="I10" s="45"/>
      <c r="J10" s="45"/>
      <c r="K10" s="45"/>
      <c r="L10" s="2" t="s">
        <v>14</v>
      </c>
      <c r="M10" s="2" t="s">
        <v>15</v>
      </c>
      <c r="N10" s="2">
        <v>13</v>
      </c>
      <c r="O10" s="2">
        <v>1</v>
      </c>
      <c r="P10" s="2" t="s">
        <v>25</v>
      </c>
      <c r="AJ10" s="18"/>
      <c r="AK10" s="23"/>
      <c r="AL10" s="43" t="s">
        <v>36</v>
      </c>
      <c r="AM10" s="44"/>
      <c r="AN10" s="24"/>
      <c r="AO10" s="23"/>
      <c r="AP10" s="8"/>
    </row>
    <row r="11" spans="2:42" ht="50.25" customHeight="1">
      <c r="B11" s="41" t="s">
        <v>37</v>
      </c>
      <c r="C11" s="41"/>
      <c r="D11" s="45" t="s">
        <v>38</v>
      </c>
      <c r="E11" s="45"/>
      <c r="F11" s="45"/>
      <c r="G11" s="45"/>
      <c r="H11" s="45"/>
      <c r="I11" s="45"/>
      <c r="J11" s="45"/>
      <c r="K11" s="45"/>
      <c r="L11" s="2" t="s">
        <v>24</v>
      </c>
      <c r="M11" s="2" t="s">
        <v>39</v>
      </c>
      <c r="N11" s="2">
        <v>21</v>
      </c>
      <c r="O11" s="2">
        <v>2</v>
      </c>
      <c r="P11" s="2" t="s">
        <v>28</v>
      </c>
      <c r="AJ11" s="18"/>
      <c r="AK11" s="16"/>
      <c r="AL11" s="32" t="s">
        <v>9</v>
      </c>
      <c r="AM11" s="32" t="s">
        <v>10</v>
      </c>
      <c r="AN11" s="16"/>
      <c r="AO11" s="23"/>
      <c r="AP11" s="14"/>
    </row>
    <row r="12" spans="2:42" ht="39.75" customHeight="1">
      <c r="B12" s="49" t="s">
        <v>40</v>
      </c>
      <c r="C12" s="49"/>
      <c r="D12" s="45" t="s">
        <v>41</v>
      </c>
      <c r="E12" s="45"/>
      <c r="F12" s="45"/>
      <c r="G12" s="45"/>
      <c r="H12" s="45"/>
      <c r="I12" s="45"/>
      <c r="J12" s="45"/>
      <c r="K12" s="45"/>
      <c r="L12" s="2" t="s">
        <v>24</v>
      </c>
      <c r="M12" s="2" t="s">
        <v>42</v>
      </c>
      <c r="N12" s="2">
        <v>5</v>
      </c>
      <c r="O12" s="2">
        <v>2</v>
      </c>
      <c r="P12" s="2" t="s">
        <v>25</v>
      </c>
      <c r="AJ12" s="18"/>
      <c r="AK12" s="17"/>
      <c r="AL12" s="2">
        <v>215</v>
      </c>
      <c r="AM12" s="2">
        <v>215</v>
      </c>
      <c r="AN12" s="1"/>
      <c r="AO12" s="15"/>
    </row>
    <row r="13" spans="2:42" ht="29.25" customHeight="1">
      <c r="B13" s="41" t="s">
        <v>43</v>
      </c>
      <c r="C13" s="41"/>
      <c r="D13" s="42" t="s">
        <v>44</v>
      </c>
      <c r="E13" s="42"/>
      <c r="F13" s="42"/>
      <c r="G13" s="42"/>
      <c r="H13" s="42"/>
      <c r="I13" s="42"/>
      <c r="J13" s="42"/>
      <c r="K13" s="42"/>
      <c r="L13" s="25" t="s">
        <v>24</v>
      </c>
      <c r="M13" s="25" t="s">
        <v>21</v>
      </c>
      <c r="N13" s="25">
        <v>8</v>
      </c>
      <c r="O13" s="25">
        <v>3</v>
      </c>
      <c r="P13" s="25" t="s">
        <v>28</v>
      </c>
      <c r="AJ13" s="18"/>
      <c r="AK13" s="7"/>
      <c r="AL13" s="2">
        <f>AM4-AM5</f>
        <v>173</v>
      </c>
      <c r="AM13" s="2">
        <f>AM4-AN5</f>
        <v>176</v>
      </c>
      <c r="AN13" s="5"/>
      <c r="AO13" s="6"/>
      <c r="AP13" s="8"/>
    </row>
    <row r="14" spans="2:42" ht="29.25" customHeight="1">
      <c r="B14" s="26" t="s">
        <v>45</v>
      </c>
      <c r="C14" s="26"/>
      <c r="D14" s="42" t="s">
        <v>46</v>
      </c>
      <c r="E14" s="42"/>
      <c r="F14" s="42"/>
      <c r="G14" s="42"/>
      <c r="H14" s="42"/>
      <c r="I14" s="42"/>
      <c r="J14" s="42"/>
      <c r="K14" s="42"/>
      <c r="L14" s="2" t="s">
        <v>14</v>
      </c>
      <c r="M14" s="2" t="s">
        <v>15</v>
      </c>
      <c r="N14" s="2">
        <v>13</v>
      </c>
      <c r="O14" s="2">
        <v>1</v>
      </c>
      <c r="P14" s="2" t="s">
        <v>16</v>
      </c>
      <c r="AJ14" s="18"/>
      <c r="AK14" s="13"/>
      <c r="AL14" s="2">
        <f>AL13-(AM6-AO5)</f>
        <v>100</v>
      </c>
      <c r="AM14" s="2">
        <f>AM13-AN6</f>
        <v>113</v>
      </c>
      <c r="AN14" s="10"/>
      <c r="AO14" s="4"/>
      <c r="AP14" s="14"/>
    </row>
    <row r="15" spans="2:42" ht="36" customHeight="1">
      <c r="B15" s="26" t="s">
        <v>47</v>
      </c>
      <c r="C15" s="26"/>
      <c r="D15" s="39" t="s">
        <v>48</v>
      </c>
      <c r="E15" s="42"/>
      <c r="F15" s="42"/>
      <c r="G15" s="42"/>
      <c r="H15" s="42"/>
      <c r="I15" s="42"/>
      <c r="J15" s="42"/>
      <c r="K15" s="42"/>
      <c r="L15" s="25" t="s">
        <v>14</v>
      </c>
      <c r="M15" s="25" t="s">
        <v>15</v>
      </c>
      <c r="N15" s="25">
        <v>13</v>
      </c>
      <c r="O15" s="25">
        <v>2</v>
      </c>
      <c r="P15" s="25" t="s">
        <v>25</v>
      </c>
      <c r="AJ15" s="18"/>
      <c r="AK15" s="13"/>
      <c r="AL15" s="2">
        <f>AL14-(AM7-AO6)</f>
        <v>0</v>
      </c>
      <c r="AM15" s="2">
        <f>AM14-AN7</f>
        <v>113</v>
      </c>
      <c r="AN15" s="10"/>
      <c r="AO15" s="4"/>
      <c r="AP15" s="14"/>
    </row>
    <row r="16" spans="2:42" ht="36.75" customHeight="1">
      <c r="B16" s="26" t="s">
        <v>49</v>
      </c>
      <c r="C16" s="26"/>
      <c r="D16" s="39" t="s">
        <v>50</v>
      </c>
      <c r="E16" s="42"/>
      <c r="F16" s="42"/>
      <c r="G16" s="42"/>
      <c r="H16" s="42"/>
      <c r="I16" s="42"/>
      <c r="J16" s="42"/>
      <c r="K16" s="42"/>
      <c r="L16" s="25" t="s">
        <v>24</v>
      </c>
      <c r="M16" s="25" t="s">
        <v>39</v>
      </c>
      <c r="N16" s="25">
        <v>21</v>
      </c>
      <c r="O16" s="25">
        <v>2</v>
      </c>
      <c r="P16" s="25" t="s">
        <v>28</v>
      </c>
      <c r="Q16" s="18"/>
      <c r="R16" s="13"/>
      <c r="S16" s="3"/>
      <c r="T16" s="3"/>
      <c r="U16" s="10"/>
      <c r="V16" s="4"/>
      <c r="W16" s="24"/>
      <c r="X16" s="18"/>
    </row>
    <row r="17" spans="2:24" ht="34.5" customHeight="1">
      <c r="B17" s="26" t="s">
        <v>51</v>
      </c>
      <c r="C17" s="26"/>
      <c r="D17" s="45" t="s">
        <v>52</v>
      </c>
      <c r="E17" s="46"/>
      <c r="F17" s="46"/>
      <c r="G17" s="46"/>
      <c r="H17" s="46"/>
      <c r="I17" s="46"/>
      <c r="J17" s="46"/>
      <c r="K17" s="46"/>
      <c r="L17" s="25" t="s">
        <v>20</v>
      </c>
      <c r="M17" s="25" t="s">
        <v>21</v>
      </c>
      <c r="N17" s="25">
        <v>8</v>
      </c>
      <c r="O17" s="25">
        <v>3</v>
      </c>
      <c r="P17" s="25" t="s">
        <v>28</v>
      </c>
      <c r="Q17" s="18"/>
      <c r="R17" s="9"/>
      <c r="S17" s="10"/>
      <c r="T17" s="13"/>
      <c r="U17" s="13"/>
      <c r="V17" s="4"/>
      <c r="W17" s="24"/>
      <c r="X17" s="18"/>
    </row>
    <row r="18" spans="2:24" ht="27.75" customHeight="1">
      <c r="B18" s="26" t="s">
        <v>53</v>
      </c>
      <c r="C18" s="26"/>
      <c r="D18" s="46" t="s">
        <v>54</v>
      </c>
      <c r="E18" s="46"/>
      <c r="F18" s="46"/>
      <c r="G18" s="46"/>
      <c r="H18" s="46"/>
      <c r="I18" s="46"/>
      <c r="J18" s="46"/>
      <c r="K18" s="46"/>
      <c r="L18" s="2" t="s">
        <v>24</v>
      </c>
      <c r="M18" s="2" t="s">
        <v>15</v>
      </c>
      <c r="N18" s="2">
        <v>13</v>
      </c>
      <c r="O18" s="2">
        <v>2</v>
      </c>
      <c r="P18" s="2" t="s">
        <v>28</v>
      </c>
      <c r="Q18" s="18"/>
      <c r="R18" s="9"/>
      <c r="S18" s="10"/>
      <c r="T18" s="4"/>
      <c r="U18" s="11"/>
      <c r="V18" s="12"/>
      <c r="W18" s="18"/>
      <c r="X18" s="18"/>
    </row>
    <row r="19" spans="2:24" ht="30" customHeight="1">
      <c r="B19" s="26" t="s">
        <v>55</v>
      </c>
      <c r="C19" s="26"/>
      <c r="D19" s="45" t="s">
        <v>56</v>
      </c>
      <c r="E19" s="46"/>
      <c r="F19" s="46"/>
      <c r="G19" s="46"/>
      <c r="H19" s="46"/>
      <c r="I19" s="46"/>
      <c r="J19" s="46"/>
      <c r="K19" s="46"/>
      <c r="L19" s="2" t="s">
        <v>14</v>
      </c>
      <c r="M19" s="2" t="s">
        <v>21</v>
      </c>
      <c r="N19" s="2">
        <v>8</v>
      </c>
      <c r="O19" s="28">
        <v>1</v>
      </c>
      <c r="P19" s="2" t="s">
        <v>25</v>
      </c>
      <c r="Q19" s="18"/>
      <c r="R19" s="18"/>
      <c r="S19" s="18"/>
      <c r="T19" s="18"/>
      <c r="U19" s="18"/>
      <c r="V19" s="18"/>
      <c r="W19" s="18"/>
      <c r="X19" s="18"/>
    </row>
    <row r="20" spans="2:24" ht="24" customHeight="1">
      <c r="B20" s="26" t="s">
        <v>57</v>
      </c>
      <c r="C20" s="26"/>
      <c r="D20" s="42" t="s">
        <v>58</v>
      </c>
      <c r="E20" s="42"/>
      <c r="F20" s="42"/>
      <c r="G20" s="42"/>
      <c r="H20" s="42"/>
      <c r="I20" s="42"/>
      <c r="J20" s="42"/>
      <c r="K20" s="42"/>
      <c r="L20" s="2" t="s">
        <v>20</v>
      </c>
      <c r="M20" s="2" t="s">
        <v>21</v>
      </c>
      <c r="N20" s="2">
        <v>8</v>
      </c>
      <c r="O20" s="2">
        <v>3</v>
      </c>
      <c r="P20" s="2" t="s">
        <v>28</v>
      </c>
      <c r="Q20" s="18"/>
      <c r="R20" s="18"/>
      <c r="S20" s="18"/>
      <c r="T20" s="18"/>
      <c r="U20" s="18"/>
      <c r="V20" s="18"/>
      <c r="W20" s="18"/>
      <c r="X20" s="18"/>
    </row>
    <row r="21" spans="2:24" ht="27" customHeight="1">
      <c r="B21" s="40" t="s">
        <v>59</v>
      </c>
      <c r="C21" s="40"/>
      <c r="D21" s="42" t="s">
        <v>60</v>
      </c>
      <c r="E21" s="42"/>
      <c r="F21" s="42"/>
      <c r="G21" s="42"/>
      <c r="H21" s="42"/>
      <c r="I21" s="42"/>
      <c r="J21" s="42"/>
      <c r="K21" s="42"/>
      <c r="L21" s="25" t="s">
        <v>24</v>
      </c>
      <c r="M21" s="25" t="s">
        <v>21</v>
      </c>
      <c r="N21" s="25">
        <v>8</v>
      </c>
      <c r="O21" s="25">
        <v>2</v>
      </c>
      <c r="P21" s="25" t="s">
        <v>28</v>
      </c>
      <c r="Q21" s="18"/>
      <c r="R21" s="18"/>
      <c r="S21" s="18"/>
      <c r="T21" s="18"/>
      <c r="U21" s="18"/>
      <c r="V21" s="18"/>
      <c r="W21" s="18"/>
      <c r="X21" s="18"/>
    </row>
    <row r="22" spans="2:24" ht="32.25" customHeight="1">
      <c r="B22" s="41" t="s">
        <v>61</v>
      </c>
      <c r="C22" s="41"/>
      <c r="D22" s="39" t="s">
        <v>62</v>
      </c>
      <c r="E22" s="39"/>
      <c r="F22" s="39"/>
      <c r="G22" s="39"/>
      <c r="H22" s="39"/>
      <c r="I22" s="39"/>
      <c r="J22" s="39"/>
      <c r="K22" s="39"/>
      <c r="L22" s="25" t="s">
        <v>24</v>
      </c>
      <c r="M22" s="25" t="s">
        <v>15</v>
      </c>
      <c r="N22" s="25">
        <v>13</v>
      </c>
      <c r="O22" s="25">
        <v>3</v>
      </c>
      <c r="P22" s="25" t="s">
        <v>28</v>
      </c>
      <c r="Q22" s="18"/>
      <c r="R22" s="18"/>
      <c r="S22" s="18"/>
      <c r="T22" s="18"/>
      <c r="U22" s="18"/>
      <c r="V22" s="18"/>
      <c r="W22" s="18"/>
      <c r="X22" s="18"/>
    </row>
    <row r="24" spans="2:24">
      <c r="D24" s="38"/>
      <c r="E24" s="38"/>
      <c r="F24" s="38"/>
      <c r="G24" s="38"/>
      <c r="H24" s="38"/>
      <c r="I24" s="38"/>
      <c r="J24" s="38"/>
      <c r="K24" s="38"/>
    </row>
    <row r="25" spans="2:24">
      <c r="D25" s="38"/>
      <c r="E25" s="38"/>
      <c r="F25" s="38"/>
      <c r="G25" s="38"/>
      <c r="H25" s="38"/>
      <c r="I25" s="38"/>
      <c r="J25" s="38"/>
      <c r="K25" s="38"/>
    </row>
    <row r="26" spans="2:24">
      <c r="D26" s="38"/>
      <c r="E26" s="38"/>
      <c r="F26" s="38"/>
      <c r="G26" s="38"/>
      <c r="H26" s="38"/>
      <c r="I26" s="38"/>
      <c r="J26" s="38"/>
      <c r="K26" s="38"/>
    </row>
    <row r="27" spans="2:24">
      <c r="D27" s="38"/>
      <c r="E27" s="38"/>
      <c r="F27" s="38"/>
      <c r="G27" s="38"/>
      <c r="H27" s="38"/>
      <c r="I27" s="38"/>
      <c r="J27" s="38"/>
      <c r="K27" s="38"/>
    </row>
    <row r="28" spans="2:24">
      <c r="D28" s="38"/>
      <c r="E28" s="38"/>
      <c r="F28" s="38"/>
      <c r="G28" s="38"/>
      <c r="H28" s="38"/>
      <c r="I28" s="38"/>
      <c r="J28" s="38"/>
      <c r="K28" s="38"/>
    </row>
    <row r="29" spans="2:24">
      <c r="B29" s="34"/>
      <c r="C29" s="34"/>
      <c r="D29" s="38"/>
      <c r="E29" s="38"/>
      <c r="F29" s="38"/>
      <c r="G29" s="38"/>
      <c r="H29" s="38"/>
      <c r="I29" s="38"/>
      <c r="J29" s="38"/>
      <c r="K29" s="38"/>
    </row>
    <row r="30" spans="2:24">
      <c r="D30" s="38"/>
      <c r="E30" s="38"/>
      <c r="F30" s="38"/>
      <c r="G30" s="38"/>
      <c r="H30" s="38"/>
      <c r="I30" s="38"/>
      <c r="J30" s="38"/>
      <c r="K30" s="38"/>
    </row>
    <row r="31" spans="2:24" ht="32.25" customHeight="1">
      <c r="B31" s="34"/>
      <c r="C31" s="34"/>
      <c r="D31" s="36"/>
      <c r="E31" s="36"/>
      <c r="F31" s="36"/>
      <c r="G31" s="36"/>
      <c r="H31" s="36"/>
      <c r="I31" s="36"/>
      <c r="J31" s="36"/>
      <c r="K31" s="36"/>
    </row>
    <row r="32" spans="2:24" ht="44.25" customHeight="1">
      <c r="B32" s="34"/>
      <c r="C32" s="34"/>
      <c r="D32" s="36"/>
      <c r="E32" s="36"/>
      <c r="F32" s="36"/>
      <c r="G32" s="36"/>
      <c r="H32" s="36"/>
      <c r="I32" s="36"/>
      <c r="J32" s="36"/>
      <c r="K32" s="36"/>
    </row>
    <row r="33" spans="2:11" ht="48" customHeight="1">
      <c r="B33" s="34"/>
      <c r="C33" s="34"/>
      <c r="D33" s="36"/>
      <c r="E33" s="36"/>
      <c r="F33" s="36"/>
      <c r="G33" s="36"/>
      <c r="H33" s="36"/>
      <c r="I33" s="36"/>
      <c r="J33" s="36"/>
      <c r="K33" s="36"/>
    </row>
    <row r="34" spans="2:11" ht="66.75" customHeight="1">
      <c r="B34" s="34"/>
      <c r="C34" s="34"/>
      <c r="D34" s="36"/>
      <c r="E34" s="36"/>
      <c r="F34" s="36"/>
      <c r="G34" s="36"/>
      <c r="H34" s="36"/>
      <c r="I34" s="36"/>
      <c r="J34" s="36"/>
      <c r="K34" s="36"/>
    </row>
    <row r="35" spans="2:11" ht="60" customHeight="1">
      <c r="B35" s="34"/>
      <c r="C35" s="34"/>
      <c r="D35" s="36"/>
      <c r="E35" s="36"/>
      <c r="F35" s="36"/>
      <c r="G35" s="36"/>
      <c r="H35" s="36"/>
      <c r="I35" s="36"/>
      <c r="J35" s="36"/>
      <c r="K35" s="36"/>
    </row>
    <row r="36" spans="2:11" ht="37.5" customHeight="1">
      <c r="B36" s="34"/>
      <c r="C36" s="34"/>
      <c r="D36" s="36"/>
      <c r="E36" s="36"/>
      <c r="F36" s="36"/>
      <c r="G36" s="36"/>
      <c r="H36" s="36"/>
      <c r="I36" s="36"/>
      <c r="J36" s="36"/>
      <c r="K36" s="36"/>
    </row>
    <row r="37" spans="2:11" ht="36" customHeight="1">
      <c r="B37" s="34"/>
      <c r="C37" s="34"/>
      <c r="D37" s="36"/>
      <c r="E37" s="36"/>
      <c r="F37" s="36"/>
      <c r="G37" s="36"/>
      <c r="H37" s="36"/>
      <c r="I37" s="36"/>
      <c r="J37" s="36"/>
      <c r="K37" s="36"/>
    </row>
    <row r="38" spans="2:11" ht="39" customHeight="1">
      <c r="B38" s="37"/>
      <c r="C38" s="37"/>
      <c r="D38" s="36"/>
      <c r="E38" s="36"/>
      <c r="F38" s="36"/>
      <c r="G38" s="36"/>
      <c r="H38" s="36"/>
      <c r="I38" s="36"/>
      <c r="J38" s="36"/>
      <c r="K38" s="36"/>
    </row>
    <row r="39" spans="2:11" ht="19.5" customHeight="1">
      <c r="B39" s="34"/>
      <c r="C39" s="34"/>
      <c r="D39" s="36"/>
      <c r="E39" s="36"/>
      <c r="F39" s="36"/>
      <c r="G39" s="36"/>
      <c r="H39" s="36"/>
      <c r="I39" s="36"/>
      <c r="J39" s="36"/>
      <c r="K39" s="36"/>
    </row>
    <row r="40" spans="2:11">
      <c r="B40" s="34"/>
      <c r="C40" s="34"/>
      <c r="D40" s="35"/>
      <c r="E40" s="36"/>
      <c r="F40" s="36"/>
      <c r="G40" s="36"/>
      <c r="H40" s="36"/>
      <c r="I40" s="36"/>
      <c r="J40" s="36"/>
      <c r="K40" s="36"/>
    </row>
    <row r="41" spans="2:11">
      <c r="B41" s="34"/>
      <c r="C41" s="34"/>
      <c r="D41" s="36"/>
      <c r="E41" s="36"/>
      <c r="F41" s="36"/>
      <c r="G41" s="36"/>
      <c r="H41" s="36"/>
      <c r="I41" s="36"/>
      <c r="J41" s="36"/>
      <c r="K41" s="36"/>
    </row>
    <row r="42" spans="2:11">
      <c r="B42" s="34"/>
      <c r="C42" s="34"/>
      <c r="D42" s="35"/>
      <c r="E42" s="36"/>
      <c r="F42" s="36"/>
      <c r="G42" s="36"/>
      <c r="H42" s="36"/>
      <c r="I42" s="36"/>
      <c r="J42" s="36"/>
      <c r="K42" s="36"/>
    </row>
  </sheetData>
  <autoFilter ref="P3:P22" xr:uid="{00000000-0001-0000-0000-000000000000}"/>
  <mergeCells count="67">
    <mergeCell ref="B9:C9"/>
    <mergeCell ref="B10:C10"/>
    <mergeCell ref="B12:C12"/>
    <mergeCell ref="D12:K12"/>
    <mergeCell ref="D11:K11"/>
    <mergeCell ref="B11:C11"/>
    <mergeCell ref="D9:K9"/>
    <mergeCell ref="D10:K10"/>
    <mergeCell ref="B2:P2"/>
    <mergeCell ref="D4:K4"/>
    <mergeCell ref="D5:K5"/>
    <mergeCell ref="D7:K7"/>
    <mergeCell ref="D8:K8"/>
    <mergeCell ref="D3:K3"/>
    <mergeCell ref="B3:C3"/>
    <mergeCell ref="B4:C4"/>
    <mergeCell ref="B5:C5"/>
    <mergeCell ref="B7:C7"/>
    <mergeCell ref="B6:C6"/>
    <mergeCell ref="D6:K6"/>
    <mergeCell ref="B8:C8"/>
    <mergeCell ref="B31:C31"/>
    <mergeCell ref="B21:C21"/>
    <mergeCell ref="B22:C22"/>
    <mergeCell ref="D15:K15"/>
    <mergeCell ref="AL10:AM10"/>
    <mergeCell ref="D14:K14"/>
    <mergeCell ref="D16:K16"/>
    <mergeCell ref="D17:K17"/>
    <mergeCell ref="D18:K18"/>
    <mergeCell ref="D13:K13"/>
    <mergeCell ref="B13:C13"/>
    <mergeCell ref="D19:K19"/>
    <mergeCell ref="D20:K20"/>
    <mergeCell ref="D21:K21"/>
    <mergeCell ref="D28:K28"/>
    <mergeCell ref="B29:C29"/>
    <mergeCell ref="D29:K29"/>
    <mergeCell ref="D30:K30"/>
    <mergeCell ref="D31:K31"/>
    <mergeCell ref="D22:K22"/>
    <mergeCell ref="D24:K24"/>
    <mergeCell ref="D25:K25"/>
    <mergeCell ref="D26:K26"/>
    <mergeCell ref="D27:K27"/>
    <mergeCell ref="D36:K36"/>
    <mergeCell ref="D37:K37"/>
    <mergeCell ref="D38:K38"/>
    <mergeCell ref="D39:K39"/>
    <mergeCell ref="B32:C32"/>
    <mergeCell ref="B36:C36"/>
    <mergeCell ref="B37:C37"/>
    <mergeCell ref="B38:C38"/>
    <mergeCell ref="B35:C35"/>
    <mergeCell ref="D32:K32"/>
    <mergeCell ref="D33:K33"/>
    <mergeCell ref="D34:K34"/>
    <mergeCell ref="D35:K35"/>
    <mergeCell ref="B34:C34"/>
    <mergeCell ref="B33:C33"/>
    <mergeCell ref="B40:C40"/>
    <mergeCell ref="B39:C39"/>
    <mergeCell ref="B41:C41"/>
    <mergeCell ref="B42:C42"/>
    <mergeCell ref="D40:K40"/>
    <mergeCell ref="D41:K41"/>
    <mergeCell ref="D42:K4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GIOVANNA DE OLIVEIRA .</cp:lastModifiedBy>
  <cp:revision/>
  <dcterms:created xsi:type="dcterms:W3CDTF">2025-11-05T14:55:44Z</dcterms:created>
  <dcterms:modified xsi:type="dcterms:W3CDTF">2026-04-28T16:35:58Z</dcterms:modified>
  <cp:category/>
  <cp:contentStatus/>
</cp:coreProperties>
</file>